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HKG_DataCenter" sheetId="2" state="visible" r:id="rId2"/>
    <sheet xmlns:r="http://schemas.openxmlformats.org/officeDocument/2006/relationships" name="IDN_Ref_Baseline" sheetId="3" state="visible" r:id="rId3"/>
    <sheet xmlns:r="http://schemas.openxmlformats.org/officeDocument/2006/relationships" name="IDN_Cikarang_Tropical" sheetId="4" state="visible" r:id="rId4"/>
    <sheet xmlns:r="http://schemas.openxmlformats.org/officeDocument/2006/relationships" name="MYS_Johor_DataCenter" sheetId="5" state="visible" r:id="rId5"/>
    <sheet xmlns:r="http://schemas.openxmlformats.org/officeDocument/2006/relationships" name="IEC62305_3_4_LPS_SPD" sheetId="6" state="visible" r:id="rId6"/>
    <sheet xmlns:r="http://schemas.openxmlformats.org/officeDocument/2006/relationships" name="Campus_MultiBuilding_Batch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&quot;e-5&quot;"/>
    <numFmt numFmtId="165" formatCode="0.0"/>
    <numFmt numFmtId="166" formatCode="0.0000"/>
    <numFmt numFmtId="167" formatCode="0.000"/>
    <numFmt numFmtId="168" formatCode="0.0%"/>
    <numFmt numFmtId="169" formatCode="#,##0.0"/>
  </numFmts>
  <fonts count="1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i val="1"/>
      <color rgb="FFE2E8F0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1B365D"/>
      <sz val="14"/>
    </font>
    <font>
      <name val="Calibri"/>
      <charset val="1"/>
      <family val="0"/>
      <i val="1"/>
      <color rgb="FF475569"/>
      <sz val="8"/>
    </font>
    <font>
      <name val="Calibri"/>
      <charset val="1"/>
      <family val="0"/>
      <b val="1"/>
      <color rgb="FF1B365D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F172A"/>
      <sz val="10"/>
    </font>
    <font>
      <name val="Calibri"/>
      <charset val="1"/>
      <family val="0"/>
      <color rgb="FF1E3A8A"/>
      <sz val="10"/>
    </font>
    <font>
      <name val="Calibri"/>
      <charset val="1"/>
      <family val="0"/>
      <b val="1"/>
      <color rgb="FF0F513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0F172A"/>
      <sz val="10"/>
    </font>
    <font>
      <name val="Calibri"/>
      <charset val="1"/>
      <family val="0"/>
      <b val="1"/>
      <color rgb="FF842029"/>
      <sz val="10"/>
    </font>
  </fonts>
  <fills count="9">
    <fill>
      <patternFill/>
    </fill>
    <fill>
      <patternFill patternType="gray125"/>
    </fill>
    <fill>
      <patternFill patternType="solid">
        <fgColor rgb="FF1B365D"/>
        <bgColor rgb="FF1E3A8A"/>
      </patternFill>
    </fill>
    <fill>
      <patternFill patternType="solid">
        <fgColor rgb="FF2C4D75"/>
        <bgColor rgb="FF475569"/>
      </patternFill>
    </fill>
    <fill>
      <patternFill patternType="solid">
        <fgColor rgb="FFE8EEF5"/>
        <bgColor rgb="FFE2E8F0"/>
      </patternFill>
    </fill>
    <fill>
      <patternFill patternType="solid">
        <fgColor rgb="FFF4F7FA"/>
        <bgColor rgb="FFF9F9F9"/>
      </patternFill>
    </fill>
    <fill>
      <patternFill patternType="solid">
        <fgColor rgb="FFD1E7DD"/>
        <bgColor rgb="FFE2E8F0"/>
      </patternFill>
    </fill>
    <fill>
      <patternFill patternType="solid">
        <fgColor rgb="FFFFFDF0"/>
        <bgColor rgb="FFFFFFFF"/>
      </patternFill>
    </fill>
    <fill>
      <patternFill patternType="solid">
        <fgColor rgb="FFF8D7DA"/>
        <bgColor rgb="FFD9D9D9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medium">
        <color rgb="FF1B365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5" fontId="12" fillId="5" borderId="1" applyAlignment="1" pivotButton="0" quotePrefix="0" xfId="0">
      <alignment horizontal="right" vertical="center"/>
    </xf>
    <xf numFmtId="2" fontId="12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167" fontId="12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right" vertical="center"/>
    </xf>
    <xf numFmtId="2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167" fontId="11" fillId="6" borderId="1" applyAlignment="1" pivotButton="0" quotePrefix="0" xfId="0">
      <alignment horizontal="right" vertical="center"/>
    </xf>
    <xf numFmtId="168" fontId="12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168" fontId="12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165" fontId="17" fillId="7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169" fontId="12" fillId="5" borderId="1" applyAlignment="1" pivotButton="0" quotePrefix="0" xfId="0">
      <alignment horizontal="right" vertical="center"/>
    </xf>
    <xf numFmtId="2" fontId="17" fillId="7" borderId="1" applyAlignment="1" pivotButton="0" quotePrefix="0" xfId="0">
      <alignment horizontal="right" vertical="center"/>
    </xf>
    <xf numFmtId="3" fontId="17" fillId="7" borderId="1" applyAlignment="1" pivotButton="0" quotePrefix="0" xfId="0">
      <alignment horizontal="right" vertical="center"/>
    </xf>
    <xf numFmtId="167" fontId="17" fillId="7" borderId="1" applyAlignment="1" pivotButton="0" quotePrefix="0" xfId="0">
      <alignment horizontal="right" vertical="center"/>
    </xf>
    <xf numFmtId="11" fontId="12" fillId="5" borderId="1" applyAlignment="1" pivotButton="0" quotePrefix="0" xfId="0">
      <alignment horizontal="right" vertical="center"/>
    </xf>
    <xf numFmtId="11" fontId="17" fillId="7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167" fontId="11" fillId="4" borderId="3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center" vertical="center" wrapText="1"/>
    </xf>
    <xf numFmtId="0" fontId="18" fillId="8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169" fontId="17" fillId="7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17" fillId="5" borderId="1" applyAlignment="1" pivotButton="0" quotePrefix="0" xfId="0">
      <alignment horizontal="right" vertical="center"/>
    </xf>
    <xf numFmtId="2" fontId="17" fillId="5" borderId="1" applyAlignment="1" pivotButton="0" quotePrefix="0" xfId="0">
      <alignment horizontal="right" vertical="center"/>
    </xf>
    <xf numFmtId="165" fontId="11" fillId="4" borderId="3" applyAlignment="1" pivotButton="0" quotePrefix="0" xfId="0">
      <alignment horizontal="right" vertical="center"/>
    </xf>
    <xf numFmtId="3" fontId="11" fillId="4" borderId="3" applyAlignment="1" pivotButton="0" quotePrefix="0" xfId="0">
      <alignment horizontal="right" vertical="center"/>
    </xf>
    <xf numFmtId="2" fontId="11" fillId="4" borderId="3" applyAlignment="1" pivotButton="0" quotePrefix="0" xfId="0">
      <alignment horizontal="right" vertical="center"/>
    </xf>
    <xf numFmtId="166" fontId="11" fillId="4" borderId="3" applyAlignment="1" pivotButton="0" quotePrefix="0" xfId="0">
      <alignment horizontal="right" vertical="center"/>
    </xf>
    <xf numFmtId="0" fontId="13" fillId="6" borderId="3" applyAlignment="1" pivotButton="0" quotePrefix="0" xfId="0">
      <alignment horizontal="left" vertical="center" wrapText="1"/>
    </xf>
    <xf numFmtId="167" fontId="13" fillId="6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164" fontId="7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5" fontId="12" fillId="5" borderId="1" applyAlignment="1" pivotButton="0" quotePrefix="0" xfId="0">
      <alignment horizontal="right" vertical="center"/>
    </xf>
    <xf numFmtId="2" fontId="12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167" fontId="12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right" vertical="center"/>
    </xf>
    <xf numFmtId="2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167" fontId="11" fillId="6" borderId="1" applyAlignment="1" pivotButton="0" quotePrefix="0" xfId="0">
      <alignment horizontal="right" vertical="center"/>
    </xf>
    <xf numFmtId="168" fontId="12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168" fontId="12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165" fontId="17" fillId="7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169" fontId="12" fillId="5" borderId="1" applyAlignment="1" pivotButton="0" quotePrefix="0" xfId="0">
      <alignment horizontal="right" vertical="center"/>
    </xf>
    <xf numFmtId="2" fontId="17" fillId="7" borderId="1" applyAlignment="1" pivotButton="0" quotePrefix="0" xfId="0">
      <alignment horizontal="right" vertical="center"/>
    </xf>
    <xf numFmtId="3" fontId="17" fillId="7" borderId="1" applyAlignment="1" pivotButton="0" quotePrefix="0" xfId="0">
      <alignment horizontal="right" vertical="center"/>
    </xf>
    <xf numFmtId="167" fontId="17" fillId="7" borderId="1" applyAlignment="1" pivotButton="0" quotePrefix="0" xfId="0">
      <alignment horizontal="right" vertical="center"/>
    </xf>
    <xf numFmtId="11" fontId="12" fillId="5" borderId="1" applyAlignment="1" pivotButton="0" quotePrefix="0" xfId="0">
      <alignment horizontal="right" vertical="center"/>
    </xf>
    <xf numFmtId="11" fontId="17" fillId="7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167" fontId="11" fillId="4" borderId="3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center" vertical="center" wrapText="1"/>
    </xf>
    <xf numFmtId="0" fontId="18" fillId="8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169" fontId="17" fillId="7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17" fillId="5" borderId="1" applyAlignment="1" pivotButton="0" quotePrefix="0" xfId="0">
      <alignment horizontal="right" vertical="center"/>
    </xf>
    <xf numFmtId="2" fontId="17" fillId="5" borderId="1" applyAlignment="1" pivotButton="0" quotePrefix="0" xfId="0">
      <alignment horizontal="right" vertical="center"/>
    </xf>
    <xf numFmtId="165" fontId="11" fillId="4" borderId="3" applyAlignment="1" pivotButton="0" quotePrefix="0" xfId="0">
      <alignment horizontal="right" vertical="center"/>
    </xf>
    <xf numFmtId="3" fontId="11" fillId="4" borderId="3" applyAlignment="1" pivotButton="0" quotePrefix="0" xfId="0">
      <alignment horizontal="right" vertical="center"/>
    </xf>
    <xf numFmtId="2" fontId="11" fillId="4" borderId="3" applyAlignment="1" pivotButton="0" quotePrefix="0" xfId="0">
      <alignment horizontal="right" vertical="center"/>
    </xf>
    <xf numFmtId="166" fontId="11" fillId="4" borderId="3" applyAlignment="1" pivotButton="0" quotePrefix="0" xfId="0">
      <alignment horizontal="right" vertical="center"/>
    </xf>
    <xf numFmtId="0" fontId="13" fillId="6" borderId="3" applyAlignment="1" pivotButton="0" quotePrefix="0" xfId="0">
      <alignment horizontal="left" vertical="center" wrapText="1"/>
    </xf>
    <xf numFmtId="167" fontId="13" fillId="6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75569"/>
      <rgbColor rgb="FFD9D9D9"/>
      <rgbColor rgb="FF878787"/>
      <rgbColor rgb="FF9999FF"/>
      <rgbColor rgb="FFC0504D"/>
      <rgbColor rgb="FFFFFDF0"/>
      <rgbColor rgb="FFE8EE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E7DD"/>
      <rgbColor rgb="FFF9F9F9"/>
      <rgbColor rgb="FFF4F7FA"/>
      <rgbColor rgb="FFFF99CC"/>
      <rgbColor rgb="FFCC99FF"/>
      <rgbColor rgb="FFF8D7DA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B365D"/>
      <rgbColor rgb="FF339966"/>
      <rgbColor rgb="FF0F172A"/>
      <rgbColor rgb="FF0F5132"/>
      <rgbColor rgb="FF842029"/>
      <rgbColor rgb="FF993366"/>
      <rgbColor rgb="FF1E3A8A"/>
      <rgbColor rgb="FF2C4D7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R1 Human Life Risk (x 10^-5 / yr) Across LPS Protection Levels vs. Limit (RT1 = 1.0)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Executive_Summary!C17</f>
              <strCache>
                <ptCount val="1"/>
                <pt idx="0">
                  <v>Class IV LPS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Executive_Summary!$A$18:$A$21</f>
              <strCache>
                <ptCount val="4"/>
                <pt idx="0">
                  <v>Hong Kong SAR — TKO Hyperscale DC</v>
                </pt>
                <pt idx="1">
                  <v>Indonesia — Reference Reference Baseline</v>
                </pt>
                <pt idx="2">
                  <v>Indonesia — Cikarang Tropical DC (High Strike)</v>
                </pt>
                <pt idx="3">
                  <v>Malaysia — Johor Bahru / KL Hyperscale DC</v>
                </pt>
              </strCache>
            </strRef>
          </cat>
          <val>
            <numRef>
              <f>Executive_Summary!$C$18:$C$21</f>
              <numCache>
                <formatCode>General</formatCode>
                <ptCount val="4"/>
                <pt idx="0">
                  <v>0.223132379472584</v>
                </pt>
                <pt idx="1">
                  <v>6.064109821</v>
                </pt>
                <pt idx="2">
                  <v>0.73858475835</v>
                </pt>
                <pt idx="3">
                  <v>0.619933137628245</v>
                </pt>
              </numCache>
            </numRef>
          </val>
        </ser>
        <ser>
          <idx val="1"/>
          <order val="1"/>
          <tx>
            <strRef>
              <f>Executive_Summary!D17</f>
              <strCache>
                <ptCount val="1"/>
                <pt idx="0">
                  <v>Class III LPS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Executive_Summary!$A$18:$A$21</f>
              <strCache>
                <ptCount val="4"/>
                <pt idx="0">
                  <v>Hong Kong SAR — TKO Hyperscale DC</v>
                </pt>
                <pt idx="1">
                  <v>Indonesia — Reference Reference Baseline</v>
                </pt>
                <pt idx="2">
                  <v>Indonesia — Cikarang Tropical DC (High Strike)</v>
                </pt>
                <pt idx="3">
                  <v>Malaysia — Johor Bahru / KL Hyperscale DC</v>
                </pt>
              </strCache>
            </strRef>
          </cat>
          <val>
            <numRef>
              <f>Executive_Summary!$D$18:$D$21</f>
              <numCache>
                <formatCode>General</formatCode>
                <ptCount val="4"/>
                <pt idx="0">
                  <v>0.152043914736292</v>
                </pt>
                <pt idx="1">
                  <v>3.612434221</v>
                </pt>
                <pt idx="2">
                  <v>0.4038474591</v>
                </pt>
                <pt idx="3">
                  <v>0.340449424814123</v>
                </pt>
              </numCache>
            </numRef>
          </val>
        </ser>
        <ser>
          <idx val="2"/>
          <order val="2"/>
          <tx>
            <strRef>
              <f>Executive_Summary!E17</f>
              <strCache>
                <ptCount val="1"/>
                <pt idx="0">
                  <v>Class II LPS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Executive_Summary!$A$18:$A$21</f>
              <strCache>
                <ptCount val="4"/>
                <pt idx="0">
                  <v>Hong Kong SAR — TKO Hyperscale DC</v>
                </pt>
                <pt idx="1">
                  <v>Indonesia — Reference Reference Baseline</v>
                </pt>
                <pt idx="2">
                  <v>Indonesia — Cikarang Tropical DC (High Strike)</v>
                </pt>
                <pt idx="3">
                  <v>Malaysia — Johor Bahru / KL Hyperscale DC</v>
                </pt>
              </strCache>
            </strRef>
          </cat>
          <val>
            <numRef>
              <f>Executive_Summary!$E$18:$E$21</f>
              <numCache>
                <formatCode>General</formatCode>
                <ptCount val="4"/>
                <pt idx="0">
                  <v>0.06792641236814589</v>
                </pt>
                <pt idx="1">
                  <v>1.6901412484</v>
                </pt>
                <pt idx="2">
                  <v>0.195012713565</v>
                </pt>
                <pt idx="3">
                  <v>0.164128141207061</v>
                </pt>
              </numCache>
            </numRef>
          </val>
        </ser>
        <ser>
          <idx val="3"/>
          <order val="3"/>
          <tx>
            <strRef>
              <f>Executive_Summary!F17</f>
              <strCache>
                <ptCount val="1"/>
                <pt idx="0">
                  <v>Class I / Enhanced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Executive_Summary!$A$18:$A$21</f>
              <strCache>
                <ptCount val="4"/>
                <pt idx="0">
                  <v>Hong Kong SAR — TKO Hyperscale DC</v>
                </pt>
                <pt idx="1">
                  <v>Indonesia — Reference Reference Baseline</v>
                </pt>
                <pt idx="2">
                  <v>Indonesia — Cikarang Tropical DC (High Strike)</v>
                </pt>
                <pt idx="3">
                  <v>Malaysia — Johor Bahru / KL Hyperscale DC</v>
                </pt>
              </strCache>
            </strRef>
          </cat>
          <val>
            <numRef>
              <f>Executive_Summary!$F$18:$F$21</f>
              <numCache>
                <formatCode>General</formatCode>
                <ptCount val="4"/>
                <pt idx="0">
                  <v>0.0304087829472584</v>
                </pt>
                <pt idx="1">
                  <v>0.7224868442</v>
                </pt>
                <pt idx="2">
                  <v>0.047295761895</v>
                </pt>
                <pt idx="3">
                  <v>0.0401415136814123</v>
                </pt>
              </numCache>
            </numRef>
          </val>
        </ser>
        <ser>
          <idx val="4"/>
          <order val="4"/>
          <tx>
            <strRef>
              <f>Executive_Summary!G17</f>
              <strCache>
                <ptCount val="1"/>
                <pt idx="0">
                  <v>Tolerable Limit RT1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Executive_Summary!$A$18:$A$21</f>
              <strCache>
                <ptCount val="4"/>
                <pt idx="0">
                  <v>Hong Kong SAR — TKO Hyperscale DC</v>
                </pt>
                <pt idx="1">
                  <v>Indonesia — Reference Reference Baseline</v>
                </pt>
                <pt idx="2">
                  <v>Indonesia — Cikarang Tropical DC (High Strike)</v>
                </pt>
                <pt idx="3">
                  <v>Malaysia — Johor Bahru / KL Hyperscale DC</v>
                </pt>
              </strCache>
            </strRef>
          </cat>
          <val>
            <numRef>
              <f>Executive_Summary!$G$18:$G$21</f>
              <numCache>
                <formatCode>General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gapWidth val="150"/>
        <overlap val="0"/>
        <axId val="44646790"/>
        <axId val="463227"/>
      </barChart>
      <catAx>
        <axId val="4464679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APAC Data Center Facility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63227"/>
        <crosses val="autoZero"/>
        <auto val="1"/>
        <lblAlgn val="ctr"/>
        <lblOffset val="100"/>
        <noMultiLvlLbl val="0"/>
      </catAx>
      <valAx>
        <axId val="46322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Risk R1 (x 10^-5 / year)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464679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31</row>
      <rowOff>0</rowOff>
    </from>
    <to>
      <col>2</col>
      <colOff>2774160</colOff>
      <row>49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31" customWidth="1" style="61" min="2" max="2"/>
    <col width="42" customWidth="1" style="61" min="3" max="3"/>
    <col width="37" customWidth="1" style="61" min="4" max="4"/>
    <col width="41" customWidth="1" style="61" min="5" max="5"/>
    <col width="36" customWidth="1" style="61" min="6" max="6"/>
    <col width="31" customWidth="1" style="61" min="7" max="7"/>
    <col width="38" customWidth="1" style="61" min="8" max="8"/>
    <col width="42" customWidth="1" style="61" min="9" max="9"/>
    <col width="31" customWidth="1" style="61" min="10" max="10"/>
  </cols>
  <sheetData>
    <row r="1" ht="30" customHeight="1" s="62">
      <c r="A1" s="63" t="inlineStr">
        <is>
          <t>APAC HYPERSCALE DATA CENTER LIGHTNING RISK ASSESSMENT &amp; PROTECTION WORKBOOK (v2.5.0)</t>
        </is>
      </c>
    </row>
    <row r="2" ht="19.5" customHeight="1" s="62">
      <c r="A2" s="64" t="inlineStr">
        <is>
          <t>Pre-Calibrated for Hong Kong (EMSD), Indonesia (SNI 03-7015 / Reference), and Malaysia (MS IEC 62305) | 100% Formula-Driven per IEC 62305-2:2010 &amp; BS EN 62305-2:2012</t>
        </is>
      </c>
    </row>
    <row r="3"/>
    <row r="4" ht="18" customHeight="1" s="62">
      <c r="A4" s="65" t="inlineStr">
        <is>
          <t>HONG KONG DC (TKO)</t>
        </is>
      </c>
      <c r="B4" s="66" t="n"/>
      <c r="C4" s="65" t="inlineStr">
        <is>
          <t>INDONESIA REF (BASELINE)</t>
        </is>
      </c>
      <c r="D4" s="66" t="n"/>
      <c r="E4" s="65" t="inlineStr">
        <is>
          <t>INDONESIA CIKARANG (TD=140)</t>
        </is>
      </c>
      <c r="F4" s="66" t="n"/>
      <c r="G4" s="65" t="inlineStr">
        <is>
          <t>MALAYSIA JOHOR DC (TD=165)</t>
        </is>
      </c>
      <c r="H4" s="66" t="n"/>
      <c r="I4" s="65" t="inlineStr">
        <is>
          <t>STATUTORY LIMIT (RT1)</t>
        </is>
      </c>
      <c r="J4" s="66" t="n"/>
    </row>
    <row r="5" ht="24" customHeight="1" s="62">
      <c r="A5" s="67">
        <f>HKG_DataCenter!I37</f>
        <v/>
      </c>
      <c r="B5" s="66" t="n"/>
      <c r="C5" s="67">
        <f>IDN_Ref_Baseline!I37</f>
        <v/>
      </c>
      <c r="D5" s="66" t="n"/>
      <c r="E5" s="67">
        <f>IDN_Cikarang_Tropical!I37</f>
        <v/>
      </c>
      <c r="F5" s="66" t="n"/>
      <c r="G5" s="67">
        <f>MYS_Johor_DataCenter!I37</f>
        <v/>
      </c>
      <c r="H5" s="66" t="n"/>
      <c r="I5" s="67" t="n">
        <v>1</v>
      </c>
      <c r="J5" s="66" t="n"/>
    </row>
    <row r="6" ht="15.75" customHeight="1" s="62">
      <c r="A6" s="68" t="inlineStr">
        <is>
          <t>R1 (×10⁻⁵) | Class I LPS PASS</t>
        </is>
      </c>
      <c r="B6" s="69" t="n"/>
      <c r="C6" s="68" t="inlineStr">
        <is>
          <t>R1 (×10⁻⁵) | Reproduces 0.72e-5</t>
        </is>
      </c>
      <c r="D6" s="69" t="n"/>
      <c r="E6" s="68" t="inlineStr">
        <is>
          <t>R1 (×10⁻⁵) | Class I Enhanced PASS</t>
        </is>
      </c>
      <c r="F6" s="69" t="n"/>
      <c r="G6" s="68" t="inlineStr">
        <is>
          <t>R1 (×10⁻⁵) | Class I Enhanced PASS</t>
        </is>
      </c>
      <c r="H6" s="69" t="n"/>
      <c r="I6" s="68" t="inlineStr">
        <is>
          <t>Max Tolerable Life Risk (×10⁻⁵/yr)</t>
        </is>
      </c>
      <c r="J6" s="69" t="n"/>
    </row>
    <row r="7"/>
    <row r="8" ht="15" customHeight="1" s="62">
      <c r="A8" s="70" t="inlineStr">
        <is>
          <t>1. Tri-Regional Data Center Risk Assessment Summary (Unprotected vs. Target Protected State)</t>
        </is>
      </c>
    </row>
    <row r="9" ht="24" customHeight="1" s="62">
      <c r="A9" s="71" t="inlineStr">
        <is>
          <t>Regional Facility Profile</t>
        </is>
      </c>
      <c r="B9" s="71" t="inlineStr">
        <is>
          <t>Governing Code</t>
        </is>
      </c>
      <c r="C9" s="71" t="inlineStr">
        <is>
          <t>Td (days/yr)</t>
        </is>
      </c>
      <c r="D9" s="71" t="inlineStr">
        <is>
          <t>Ng (fl/km²/yr)</t>
        </is>
      </c>
      <c r="E9" s="71" t="inlineStr">
        <is>
          <t>Collection Area AD (m²)</t>
        </is>
      </c>
      <c r="F9" s="71" t="inlineStr">
        <is>
          <t>Direct Flashes ND (/yr)</t>
        </is>
      </c>
      <c r="G9" s="71" t="inlineStr">
        <is>
          <t>Unprotected R1 (×10⁻⁵)</t>
        </is>
      </c>
      <c r="H9" s="71" t="inlineStr">
        <is>
          <t>Protected R1 (×10⁻⁵)</t>
        </is>
      </c>
      <c r="I9" s="71" t="inlineStr">
        <is>
          <t>Protected R2 (×10⁻³)</t>
        </is>
      </c>
      <c r="J9" s="71" t="inlineStr">
        <is>
          <t>Compliance Status</t>
        </is>
      </c>
    </row>
    <row r="10" ht="19.5" customHeight="1" s="62">
      <c r="A10" s="72" t="inlineStr">
        <is>
          <t>Hong Kong SAR — TKO Hyperscale DC</t>
        </is>
      </c>
      <c r="B10" s="73" t="inlineStr">
        <is>
          <t>EMSD CoP / BS EN 62305-2</t>
        </is>
      </c>
      <c r="C10" s="74">
        <f>HKG_DataCenter!E10</f>
        <v/>
      </c>
      <c r="D10" s="75">
        <f>HKG_DataCenter!E11</f>
        <v/>
      </c>
      <c r="E10" s="76">
        <f>HKG_DataCenter!E8</f>
        <v/>
      </c>
      <c r="F10" s="77">
        <f>HKG_DataCenter!E12</f>
        <v/>
      </c>
      <c r="G10" s="78">
        <f>HKG_DataCenter!E37</f>
        <v/>
      </c>
      <c r="H10" s="78">
        <f>HKG_DataCenter!I37</f>
        <v/>
      </c>
      <c r="I10" s="78">
        <f>HKG_DataCenter!I38</f>
        <v/>
      </c>
      <c r="J10" s="79">
        <f>HKG_DataCenter!I40</f>
        <v/>
      </c>
    </row>
    <row r="11" ht="19.5" customHeight="1" s="62">
      <c r="A11" s="80" t="inlineStr">
        <is>
          <t>Indonesia — Reference Reference Baseline</t>
        </is>
      </c>
      <c r="B11" s="81" t="inlineStr">
        <is>
          <t>BS EN 62305-2:2012</t>
        </is>
      </c>
      <c r="C11" s="82">
        <f>IDN_Ref_Baseline!E10</f>
        <v/>
      </c>
      <c r="D11" s="83">
        <f>IDN_Ref_Baseline!E11</f>
        <v/>
      </c>
      <c r="E11" s="84">
        <f>IDN_Ref_Baseline!E8</f>
        <v/>
      </c>
      <c r="F11" s="85">
        <f>IDN_Ref_Baseline!E12</f>
        <v/>
      </c>
      <c r="G11" s="86">
        <f>IDN_Ref_Baseline!E37</f>
        <v/>
      </c>
      <c r="H11" s="86">
        <f>IDN_Ref_Baseline!I37</f>
        <v/>
      </c>
      <c r="I11" s="86">
        <f>IDN_Ref_Baseline!I38</f>
        <v/>
      </c>
      <c r="J11" s="79">
        <f>IDN_Ref_Baseline!I40</f>
        <v/>
      </c>
    </row>
    <row r="12" ht="19.5" customHeight="1" s="62">
      <c r="A12" s="72" t="inlineStr">
        <is>
          <t>Indonesia — Cikarang Tropical DC (High Strike)</t>
        </is>
      </c>
      <c r="B12" s="73" t="inlineStr">
        <is>
          <t>SNI 03-7015 / IEC 62305-2</t>
        </is>
      </c>
      <c r="C12" s="74">
        <f>IDN_Cikarang_Tropical!E10</f>
        <v/>
      </c>
      <c r="D12" s="75">
        <f>IDN_Cikarang_Tropical!E11</f>
        <v/>
      </c>
      <c r="E12" s="76">
        <f>IDN_Cikarang_Tropical!E8</f>
        <v/>
      </c>
      <c r="F12" s="77">
        <f>IDN_Cikarang_Tropical!E12</f>
        <v/>
      </c>
      <c r="G12" s="78">
        <f>IDN_Cikarang_Tropical!E37</f>
        <v/>
      </c>
      <c r="H12" s="78">
        <f>IDN_Cikarang_Tropical!I37</f>
        <v/>
      </c>
      <c r="I12" s="78">
        <f>IDN_Cikarang_Tropical!I38</f>
        <v/>
      </c>
      <c r="J12" s="79">
        <f>IDN_Cikarang_Tropical!I40</f>
        <v/>
      </c>
    </row>
    <row r="13" ht="19.5" customHeight="1" s="62">
      <c r="A13" s="80" t="inlineStr">
        <is>
          <t>Malaysia — Johor Bahru / KL Hyperscale DC</t>
        </is>
      </c>
      <c r="B13" s="81" t="inlineStr">
        <is>
          <t>MS IEC 62305 (ST)</t>
        </is>
      </c>
      <c r="C13" s="82">
        <f>MYS_Johor_DataCenter!E10</f>
        <v/>
      </c>
      <c r="D13" s="83">
        <f>MYS_Johor_DataCenter!E11</f>
        <v/>
      </c>
      <c r="E13" s="84">
        <f>MYS_Johor_DataCenter!E8</f>
        <v/>
      </c>
      <c r="F13" s="85">
        <f>MYS_Johor_DataCenter!E12</f>
        <v/>
      </c>
      <c r="G13" s="86">
        <f>MYS_Johor_DataCenter!E37</f>
        <v/>
      </c>
      <c r="H13" s="86">
        <f>MYS_Johor_DataCenter!I37</f>
        <v/>
      </c>
      <c r="I13" s="86">
        <f>MYS_Johor_DataCenter!I38</f>
        <v/>
      </c>
      <c r="J13" s="79">
        <f>MYS_Johor_DataCenter!I40</f>
        <v/>
      </c>
    </row>
    <row r="14"/>
    <row r="15"/>
    <row r="16" ht="15" customHeight="1" s="62">
      <c r="A16" s="70" t="inlineStr">
        <is>
          <t>2. Side-by-Side R1 Human Life Risk (×10⁻⁵/yr) Across All 5 LPS Protection Levels (Tolerable Limit RT1 = 1.00 × 10⁻⁵)</t>
        </is>
      </c>
    </row>
    <row r="17" ht="24" customHeight="1" s="62">
      <c r="A17" s="87" t="inlineStr">
        <is>
          <t>Regional Facility Profile</t>
        </is>
      </c>
      <c r="B17" s="87" t="inlineStr">
        <is>
          <t>No Protection</t>
        </is>
      </c>
      <c r="C17" s="87" t="inlineStr">
        <is>
          <t>Class IV LPS</t>
        </is>
      </c>
      <c r="D17" s="87" t="inlineStr">
        <is>
          <t>Class III LPS</t>
        </is>
      </c>
      <c r="E17" s="87" t="inlineStr">
        <is>
          <t>Class II LPS</t>
        </is>
      </c>
      <c r="F17" s="87" t="inlineStr">
        <is>
          <t>Class I / Enhanced</t>
        </is>
      </c>
      <c r="G17" s="87" t="inlineStr">
        <is>
          <t>Tolerable Limit RT1</t>
        </is>
      </c>
      <c r="H17" s="87" t="inlineStr">
        <is>
          <t>Rolling Sphere r (m)</t>
        </is>
      </c>
      <c r="I17" s="87" t="inlineStr">
        <is>
          <t>Min Separation s (m)</t>
        </is>
      </c>
      <c r="J17" s="87" t="inlineStr">
        <is>
          <t>Selected LPS Class</t>
        </is>
      </c>
    </row>
    <row r="18" ht="19.5" customHeight="1" s="62">
      <c r="A18" s="72" t="inlineStr">
        <is>
          <t>Hong Kong SAR — TKO Hyperscale DC</t>
        </is>
      </c>
      <c r="B18" s="78">
        <f>HKG_DataCenter!E37</f>
        <v/>
      </c>
      <c r="C18" s="78">
        <f>HKG_DataCenter!F37</f>
        <v/>
      </c>
      <c r="D18" s="78">
        <f>HKG_DataCenter!G37</f>
        <v/>
      </c>
      <c r="E18" s="78">
        <f>HKG_DataCenter!H37</f>
        <v/>
      </c>
      <c r="F18" s="88">
        <f>HKG_DataCenter!I37</f>
        <v/>
      </c>
      <c r="G18" s="78" t="n">
        <v>1</v>
      </c>
      <c r="H18" s="76">
        <f>IEC62305_3_4_LPS_SPD!C5</f>
        <v/>
      </c>
      <c r="I18" s="75">
        <f>IEC62305_3_4_LPS_SPD!H5</f>
        <v/>
      </c>
      <c r="J18" s="72">
        <f>IEC62305_3_4_LPS_SPD!B5</f>
        <v/>
      </c>
    </row>
    <row r="19" ht="19.5" customHeight="1" s="62">
      <c r="A19" s="80" t="inlineStr">
        <is>
          <t>Indonesia — Reference Reference Baseline</t>
        </is>
      </c>
      <c r="B19" s="86">
        <f>IDN_Ref_Baseline!E37</f>
        <v/>
      </c>
      <c r="C19" s="86">
        <f>IDN_Ref_Baseline!F37</f>
        <v/>
      </c>
      <c r="D19" s="86">
        <f>IDN_Ref_Baseline!G37</f>
        <v/>
      </c>
      <c r="E19" s="86">
        <f>IDN_Ref_Baseline!H37</f>
        <v/>
      </c>
      <c r="F19" s="88">
        <f>IDN_Ref_Baseline!I37</f>
        <v/>
      </c>
      <c r="G19" s="86" t="n">
        <v>1</v>
      </c>
      <c r="H19" s="84">
        <f>IEC62305_3_4_LPS_SPD!C6</f>
        <v/>
      </c>
      <c r="I19" s="83">
        <f>IEC62305_3_4_LPS_SPD!H6</f>
        <v/>
      </c>
      <c r="J19" s="80">
        <f>IEC62305_3_4_LPS_SPD!B6</f>
        <v/>
      </c>
    </row>
    <row r="20" ht="19.5" customHeight="1" s="62">
      <c r="A20" s="72" t="inlineStr">
        <is>
          <t>Indonesia — Cikarang Tropical DC (High Strike)</t>
        </is>
      </c>
      <c r="B20" s="78">
        <f>IDN_Cikarang_Tropical!E37</f>
        <v/>
      </c>
      <c r="C20" s="78">
        <f>IDN_Cikarang_Tropical!F37</f>
        <v/>
      </c>
      <c r="D20" s="78">
        <f>IDN_Cikarang_Tropical!G37</f>
        <v/>
      </c>
      <c r="E20" s="78">
        <f>IDN_Cikarang_Tropical!H37</f>
        <v/>
      </c>
      <c r="F20" s="88">
        <f>IDN_Cikarang_Tropical!I37</f>
        <v/>
      </c>
      <c r="G20" s="78" t="n">
        <v>1</v>
      </c>
      <c r="H20" s="76">
        <f>IEC62305_3_4_LPS_SPD!C7</f>
        <v/>
      </c>
      <c r="I20" s="75">
        <f>IEC62305_3_4_LPS_SPD!H7</f>
        <v/>
      </c>
      <c r="J20" s="72">
        <f>IEC62305_3_4_LPS_SPD!B7</f>
        <v/>
      </c>
    </row>
    <row r="21" ht="19.5" customHeight="1" s="62">
      <c r="A21" s="80" t="inlineStr">
        <is>
          <t>Malaysia — Johor Bahru / KL Hyperscale DC</t>
        </is>
      </c>
      <c r="B21" s="86">
        <f>MYS_Johor_DataCenter!E37</f>
        <v/>
      </c>
      <c r="C21" s="86">
        <f>MYS_Johor_DataCenter!F37</f>
        <v/>
      </c>
      <c r="D21" s="86">
        <f>MYS_Johor_DataCenter!G37</f>
        <v/>
      </c>
      <c r="E21" s="86">
        <f>MYS_Johor_DataCenter!H37</f>
        <v/>
      </c>
      <c r="F21" s="88">
        <f>MYS_Johor_DataCenter!I37</f>
        <v/>
      </c>
      <c r="G21" s="86" t="n">
        <v>1</v>
      </c>
      <c r="H21" s="84">
        <f>IEC62305_3_4_LPS_SPD!C8</f>
        <v/>
      </c>
      <c r="I21" s="83">
        <f>IEC62305_3_4_LPS_SPD!H8</f>
        <v/>
      </c>
      <c r="J21" s="80">
        <f>IEC62305_3_4_LPS_SPD!B8</f>
        <v/>
      </c>
    </row>
    <row r="22"/>
    <row r="23"/>
    <row r="24" ht="15" customHeight="1" s="62">
      <c r="A24" s="70" t="inlineStr">
        <is>
          <t>3. IEC 62305-2 Ed.2 Dual-Line (Power + Telecom + Adj NDJ) vs. Ed.3 Simplified Single-Line Mode Comparison</t>
        </is>
      </c>
    </row>
    <row r="25" ht="24" customHeight="1" s="62">
      <c r="A25" s="71" t="inlineStr">
        <is>
          <t>Regional Facility Profile</t>
        </is>
      </c>
      <c r="B25" s="71" t="inlineStr">
        <is>
          <t>Ed.2 Unprotected R1 (×10⁻⁵)</t>
        </is>
      </c>
      <c r="C25" s="71" t="inlineStr">
        <is>
          <t>Ed.3 Single-Line Unprotected R1 (×10⁻⁵)</t>
        </is>
      </c>
      <c r="D25" s="71" t="inlineStr">
        <is>
          <t>Ed.2 Class I Protected R1 (×10⁻⁵)</t>
        </is>
      </c>
      <c r="E25" s="71" t="inlineStr">
        <is>
          <t>Ed.3 Single-Line Protected R1 (×10⁻⁵)</t>
        </is>
      </c>
      <c r="F25" s="71" t="inlineStr">
        <is>
          <t>Ed.3 vs Ed.2 Protected Delta (%)</t>
        </is>
      </c>
      <c r="G25" s="71" t="inlineStr">
        <is>
          <t>Active Rolling Sphere r (m)</t>
        </is>
      </c>
      <c r="H25" s="71" t="inlineStr">
        <is>
          <t>Rooftop Mast Protected Span rp (m)</t>
        </is>
      </c>
      <c r="I25" s="71" t="inlineStr">
        <is>
          <t>Required Separation s = (ki/km)·kc·l (m)</t>
        </is>
      </c>
      <c r="J25" s="71" t="inlineStr">
        <is>
          <t>Dual-Mode Compliance Status</t>
        </is>
      </c>
    </row>
    <row r="26" ht="19.5" customHeight="1" s="62">
      <c r="A26" s="72" t="inlineStr">
        <is>
          <t>Hong Kong SAR — TKO Hyperscale DC</t>
        </is>
      </c>
      <c r="B26" s="78">
        <f>HKG_DataCenter!E37</f>
        <v/>
      </c>
      <c r="C26" s="78">
        <f>HKG_DataCenter!E41</f>
        <v/>
      </c>
      <c r="D26" s="78">
        <f>HKG_DataCenter!I37</f>
        <v/>
      </c>
      <c r="E26" s="78">
        <f>HKG_DataCenter!I41</f>
        <v/>
      </c>
      <c r="F26" s="89">
        <f>(E26-D26)/D26</f>
        <v/>
      </c>
      <c r="G26" s="76">
        <f>IEC62305_3_4_LPS_SPD!C5</f>
        <v/>
      </c>
      <c r="H26" s="75">
        <f>IEC62305_3_4_LPS_SPD!G5</f>
        <v/>
      </c>
      <c r="I26" s="75">
        <f>IEC62305_3_4_LPS_SPD!H5</f>
        <v/>
      </c>
      <c r="J26" s="90">
        <f>IF(AND(D26&lt;=1, E26&lt;=1), "PASS (Ed.2 &amp; Ed.3 Compliant)", "FAIL")</f>
        <v/>
      </c>
    </row>
    <row r="27" ht="19.5" customHeight="1" s="62">
      <c r="A27" s="80" t="inlineStr">
        <is>
          <t>Indonesia — Reference Reference Baseline</t>
        </is>
      </c>
      <c r="B27" s="86">
        <f>IDN_Ref_Baseline!E37</f>
        <v/>
      </c>
      <c r="C27" s="86">
        <f>IDN_Ref_Baseline!E41</f>
        <v/>
      </c>
      <c r="D27" s="86">
        <f>IDN_Ref_Baseline!I37</f>
        <v/>
      </c>
      <c r="E27" s="86">
        <f>IDN_Ref_Baseline!I41</f>
        <v/>
      </c>
      <c r="F27" s="91">
        <f>(E27-D27)/D27</f>
        <v/>
      </c>
      <c r="G27" s="84">
        <f>IEC62305_3_4_LPS_SPD!C6</f>
        <v/>
      </c>
      <c r="H27" s="83">
        <f>IEC62305_3_4_LPS_SPD!G6</f>
        <v/>
      </c>
      <c r="I27" s="83">
        <f>IEC62305_3_4_LPS_SPD!H6</f>
        <v/>
      </c>
      <c r="J27" s="90">
        <f>IF(AND(D27&lt;=1, E27&lt;=1), "PASS (Ed.2 &amp; Ed.3 Compliant)", "FAIL")</f>
        <v/>
      </c>
    </row>
    <row r="28" ht="19.5" customHeight="1" s="62">
      <c r="A28" s="72" t="inlineStr">
        <is>
          <t>Indonesia — Cikarang Tropical DC (High Strike)</t>
        </is>
      </c>
      <c r="B28" s="78">
        <f>IDN_Cikarang_Tropical!E37</f>
        <v/>
      </c>
      <c r="C28" s="78">
        <f>IDN_Cikarang_Tropical!E41</f>
        <v/>
      </c>
      <c r="D28" s="78">
        <f>IDN_Cikarang_Tropical!I37</f>
        <v/>
      </c>
      <c r="E28" s="78">
        <f>IDN_Cikarang_Tropical!I41</f>
        <v/>
      </c>
      <c r="F28" s="89">
        <f>(E28-D28)/D28</f>
        <v/>
      </c>
      <c r="G28" s="76">
        <f>IEC62305_3_4_LPS_SPD!C7</f>
        <v/>
      </c>
      <c r="H28" s="75">
        <f>IEC62305_3_4_LPS_SPD!G7</f>
        <v/>
      </c>
      <c r="I28" s="75">
        <f>IEC62305_3_4_LPS_SPD!H7</f>
        <v/>
      </c>
      <c r="J28" s="90">
        <f>IF(AND(D28&lt;=1, E28&lt;=1), "PASS (Ed.2 &amp; Ed.3 Compliant)", "FAIL")</f>
        <v/>
      </c>
    </row>
    <row r="29" ht="19.5" customHeight="1" s="62">
      <c r="A29" s="80" t="inlineStr">
        <is>
          <t>Malaysia — Johor Bahru / KL Hyperscale DC</t>
        </is>
      </c>
      <c r="B29" s="86">
        <f>MYS_Johor_DataCenter!E37</f>
        <v/>
      </c>
      <c r="C29" s="86">
        <f>MYS_Johor_DataCenter!E41</f>
        <v/>
      </c>
      <c r="D29" s="86">
        <f>MYS_Johor_DataCenter!I37</f>
        <v/>
      </c>
      <c r="E29" s="86">
        <f>MYS_Johor_DataCenter!I41</f>
        <v/>
      </c>
      <c r="F29" s="91">
        <f>(E29-D29)/D29</f>
        <v/>
      </c>
      <c r="G29" s="84">
        <f>IEC62305_3_4_LPS_SPD!C8</f>
        <v/>
      </c>
      <c r="H29" s="83">
        <f>IEC62305_3_4_LPS_SPD!G8</f>
        <v/>
      </c>
      <c r="I29" s="83">
        <f>IEC62305_3_4_LPS_SPD!H8</f>
        <v/>
      </c>
      <c r="J29" s="90">
        <f>IF(AND(D29&lt;=1, E29&lt;=1), "PASS (Ed.2 &amp; Ed.3 Compliant)", "FAIL")</f>
        <v/>
      </c>
    </row>
  </sheetData>
  <mergeCells count="17">
    <mergeCell ref="A4:B4"/>
    <mergeCell ref="G4:H4"/>
    <mergeCell ref="A1:J1"/>
    <mergeCell ref="E4:F4"/>
    <mergeCell ref="I4:J4"/>
    <mergeCell ref="C6:D6"/>
    <mergeCell ref="E6:F6"/>
    <mergeCell ref="I6:J6"/>
    <mergeCell ref="C5:D5"/>
    <mergeCell ref="A5:B5"/>
    <mergeCell ref="G5:H5"/>
    <mergeCell ref="E5:F5"/>
    <mergeCell ref="I5:J5"/>
    <mergeCell ref="G6:H6"/>
    <mergeCell ref="A2:J2"/>
    <mergeCell ref="A6:B6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8" customWidth="1" style="61" min="2" max="2"/>
    <col width="23" customWidth="1" style="61" min="3" max="3"/>
    <col width="15" customWidth="1" style="61" min="4" max="4"/>
    <col width="17" customWidth="1" style="61" min="5" max="5"/>
    <col width="16" customWidth="1" style="61" min="6" max="6"/>
    <col width="17" customWidth="1" style="61" min="7" max="7"/>
    <col width="16" customWidth="1" style="61" min="8" max="8"/>
    <col width="24" customWidth="1" style="61" min="9" max="9"/>
  </cols>
  <sheetData>
    <row r="1" ht="27.75" customHeight="1" s="62">
      <c r="A1" s="63" t="inlineStr">
        <is>
          <t>IEC 62305-2 / BS EN 62305-2 LIGHTNING RISK CALCULATION SHEET — HONG KONG SAR — TKO HYPERSCALE DATA CENTER (80m × 50m × 24m)</t>
        </is>
      </c>
    </row>
    <row r="2" ht="19.5" customHeight="1" s="62">
      <c r="A2" s="64" t="inlineStr">
        <is>
          <t>Governing Standard: EMSD CoP / BS EN 62305-2:2012 | Meteorological Authority: Hong Kong Observatory (HKO) | Dual-Line (Power + Telecom) &amp; Adjacent Structure Model</t>
        </is>
      </c>
    </row>
    <row r="3"/>
    <row r="4" ht="24" customHeight="1" s="62">
      <c r="A4" s="71" t="inlineStr">
        <is>
          <t>Parameter / Risk Component Description</t>
        </is>
      </c>
      <c r="B4" s="71" t="inlineStr">
        <is>
          <t>Symbol</t>
        </is>
      </c>
      <c r="C4" s="71" t="inlineStr">
        <is>
          <t>IEC Clause / Ref</t>
        </is>
      </c>
      <c r="D4" s="71" t="inlineStr">
        <is>
          <t>Unit / Mode</t>
        </is>
      </c>
      <c r="E4" s="71" t="inlineStr">
        <is>
          <t>No Protection</t>
        </is>
      </c>
      <c r="F4" s="71" t="inlineStr">
        <is>
          <t>Class IV LPS</t>
        </is>
      </c>
      <c r="G4" s="71" t="inlineStr">
        <is>
          <t>Class III LPS</t>
        </is>
      </c>
      <c r="H4" s="71" t="inlineStr">
        <is>
          <t>Class II LPS</t>
        </is>
      </c>
      <c r="I4" s="71" t="inlineStr">
        <is>
          <t>Class I LPS (Target)</t>
        </is>
      </c>
    </row>
    <row r="5" ht="18.75" customHeight="1" s="62">
      <c r="A5" s="92" t="inlineStr">
        <is>
          <t>Structure Length</t>
        </is>
      </c>
      <c r="B5" s="93" t="inlineStr">
        <is>
          <t>L</t>
        </is>
      </c>
      <c r="C5" s="92" t="inlineStr">
        <is>
          <t>Annex A.2</t>
        </is>
      </c>
      <c r="D5" s="93" t="inlineStr">
        <is>
          <t>m</t>
        </is>
      </c>
      <c r="E5" s="94" t="n">
        <v>80</v>
      </c>
      <c r="F5" s="94" t="n">
        <v>80</v>
      </c>
      <c r="G5" s="94" t="n">
        <v>80</v>
      </c>
      <c r="H5" s="94" t="n">
        <v>80</v>
      </c>
      <c r="I5" s="94" t="n">
        <v>80</v>
      </c>
    </row>
    <row r="6" ht="18.75" customHeight="1" s="62">
      <c r="A6" s="95" t="inlineStr">
        <is>
          <t>Structure Width</t>
        </is>
      </c>
      <c r="B6" s="96" t="inlineStr">
        <is>
          <t>W</t>
        </is>
      </c>
      <c r="C6" s="95" t="inlineStr">
        <is>
          <t>Annex A.2</t>
        </is>
      </c>
      <c r="D6" s="96" t="inlineStr">
        <is>
          <t>m</t>
        </is>
      </c>
      <c r="E6" s="94" t="n">
        <v>50</v>
      </c>
      <c r="F6" s="94" t="n">
        <v>50</v>
      </c>
      <c r="G6" s="94" t="n">
        <v>50</v>
      </c>
      <c r="H6" s="94" t="n">
        <v>50</v>
      </c>
      <c r="I6" s="94" t="n">
        <v>50</v>
      </c>
    </row>
    <row r="7" ht="18.75" customHeight="1" s="62">
      <c r="A7" s="92" t="inlineStr">
        <is>
          <t>Structure Max Height</t>
        </is>
      </c>
      <c r="B7" s="93" t="inlineStr">
        <is>
          <t>H</t>
        </is>
      </c>
      <c r="C7" s="92" t="inlineStr">
        <is>
          <t>Annex A.2</t>
        </is>
      </c>
      <c r="D7" s="93" t="inlineStr">
        <is>
          <t>m</t>
        </is>
      </c>
      <c r="E7" s="94" t="n">
        <v>24</v>
      </c>
      <c r="F7" s="94" t="n">
        <v>24</v>
      </c>
      <c r="G7" s="94" t="n">
        <v>24</v>
      </c>
      <c r="H7" s="94" t="n">
        <v>24</v>
      </c>
      <c r="I7" s="94" t="n">
        <v>24</v>
      </c>
    </row>
    <row r="8" ht="18.75" customHeight="1" s="62">
      <c r="A8" s="95" t="inlineStr">
        <is>
          <t>Collection Area of Isolated Structure</t>
        </is>
      </c>
      <c r="B8" s="96" t="inlineStr">
        <is>
          <t>AD</t>
        </is>
      </c>
      <c r="C8" s="95" t="inlineStr">
        <is>
          <t>Eq. A.2</t>
        </is>
      </c>
      <c r="D8" s="96" t="inlineStr">
        <is>
          <t>m²</t>
        </is>
      </c>
      <c r="E8" s="97">
        <f>(E5*E6)+(6*E7*(E5+E6))+(PI()*9*E7*E7)</f>
        <v/>
      </c>
      <c r="F8" s="97">
        <f>(F5*F6)+(6*F7*(F5+F6))+(PI()*9*F7*F7)</f>
        <v/>
      </c>
      <c r="G8" s="97">
        <f>(G5*G6)+(6*G7*(G5+G6))+(PI()*9*G7*G7)</f>
        <v/>
      </c>
      <c r="H8" s="97">
        <f>(H5*H6)+(6*H7*(H5+H6))+(PI()*9*H7*H7)</f>
        <v/>
      </c>
      <c r="I8" s="97">
        <f>(I5*I6)+(6*I7*(I5+I6))+(PI()*9*I7*I7)</f>
        <v/>
      </c>
    </row>
    <row r="9" ht="18.75" customHeight="1" s="62">
      <c r="A9" s="92" t="inlineStr">
        <is>
          <t>Location Factor of Structure</t>
        </is>
      </c>
      <c r="B9" s="93" t="inlineStr">
        <is>
          <t>CD</t>
        </is>
      </c>
      <c r="C9" s="92" t="inlineStr">
        <is>
          <t>Table A.1</t>
        </is>
      </c>
      <c r="D9" s="93" t="inlineStr">
        <is>
          <t>factor</t>
        </is>
      </c>
      <c r="E9" s="98" t="n">
        <v>0.5</v>
      </c>
      <c r="F9" s="98" t="n">
        <v>0.5</v>
      </c>
      <c r="G9" s="98" t="n">
        <v>0.5</v>
      </c>
      <c r="H9" s="98" t="n">
        <v>0.5</v>
      </c>
      <c r="I9" s="98" t="n">
        <v>0.5</v>
      </c>
    </row>
    <row r="10" ht="18.75" customHeight="1" s="62">
      <c r="A10" s="95" t="inlineStr">
        <is>
          <t>Thunderstorm Days per Year</t>
        </is>
      </c>
      <c r="B10" s="96" t="inlineStr">
        <is>
          <t>TD</t>
        </is>
      </c>
      <c r="C10" s="95" t="inlineStr">
        <is>
          <t>Meteorological</t>
        </is>
      </c>
      <c r="D10" s="96" t="inlineStr">
        <is>
          <t>days/yr</t>
        </is>
      </c>
      <c r="E10" s="94" t="n">
        <v>42</v>
      </c>
      <c r="F10" s="94" t="n">
        <v>42</v>
      </c>
      <c r="G10" s="94" t="n">
        <v>42</v>
      </c>
      <c r="H10" s="94" t="n">
        <v>42</v>
      </c>
      <c r="I10" s="94" t="n">
        <v>42</v>
      </c>
    </row>
    <row r="11" ht="18.75" customHeight="1" s="62">
      <c r="A11" s="92" t="inlineStr">
        <is>
          <t>Lightning Ground Flash Density</t>
        </is>
      </c>
      <c r="B11" s="93" t="inlineStr">
        <is>
          <t>NG</t>
        </is>
      </c>
      <c r="C11" s="92" t="inlineStr">
        <is>
          <t>Eq. A.1 / Network</t>
        </is>
      </c>
      <c r="D11" s="93" t="inlineStr">
        <is>
          <t>fl/km²/yr</t>
        </is>
      </c>
      <c r="E11" s="98" t="n">
        <v>4.5</v>
      </c>
      <c r="F11" s="98" t="n">
        <v>4.5</v>
      </c>
      <c r="G11" s="98" t="n">
        <v>4.5</v>
      </c>
      <c r="H11" s="98" t="n">
        <v>4.5</v>
      </c>
      <c r="I11" s="98" t="n">
        <v>4.5</v>
      </c>
    </row>
    <row r="12" ht="18.75" customHeight="1" s="62">
      <c r="A12" s="95" t="inlineStr">
        <is>
          <t>Annual Direct Flashes to Structure</t>
        </is>
      </c>
      <c r="B12" s="96" t="inlineStr">
        <is>
          <t>ND</t>
        </is>
      </c>
      <c r="C12" s="95" t="inlineStr">
        <is>
          <t>Eq. A.4</t>
        </is>
      </c>
      <c r="D12" s="96" t="inlineStr">
        <is>
          <t>events/yr</t>
        </is>
      </c>
      <c r="E12" s="77">
        <f>E11*E8*E9*0.000001</f>
        <v/>
      </c>
      <c r="F12" s="77">
        <f>F11*F8*F9*0.000001</f>
        <v/>
      </c>
      <c r="G12" s="77">
        <f>G11*G8*G9*0.000001</f>
        <v/>
      </c>
      <c r="H12" s="77">
        <f>H11*H8*H9*0.000001</f>
        <v/>
      </c>
      <c r="I12" s="77">
        <f>I11*I8*I9*0.000001</f>
        <v/>
      </c>
    </row>
    <row r="13" ht="18.75" customHeight="1" s="62">
      <c r="A13" s="92" t="inlineStr">
        <is>
          <t>Collection Area of Flashes Near Structure</t>
        </is>
      </c>
      <c r="B13" s="93" t="inlineStr">
        <is>
          <t>AM</t>
        </is>
      </c>
      <c r="C13" s="92" t="inlineStr">
        <is>
          <t>Eq. A.7</t>
        </is>
      </c>
      <c r="D13" s="93" t="inlineStr">
        <is>
          <t>m²</t>
        </is>
      </c>
      <c r="E13" s="84">
        <f>2*500*(E5+E6)+(PI()*500*500)</f>
        <v/>
      </c>
      <c r="F13" s="84">
        <f>2*500*(F5+F6)+(PI()*500*500)</f>
        <v/>
      </c>
      <c r="G13" s="84">
        <f>2*500*(G5+G6)+(PI()*500*500)</f>
        <v/>
      </c>
      <c r="H13" s="84">
        <f>2*500*(H5+H6)+(PI()*500*500)</f>
        <v/>
      </c>
      <c r="I13" s="84">
        <f>2*500*(I5+I6)+(PI()*500*500)</f>
        <v/>
      </c>
    </row>
    <row r="14" ht="18.75" customHeight="1" s="62">
      <c r="A14" s="95" t="inlineStr">
        <is>
          <t>Annual Flashes Near Structure</t>
        </is>
      </c>
      <c r="B14" s="96" t="inlineStr">
        <is>
          <t>NM</t>
        </is>
      </c>
      <c r="C14" s="95" t="inlineStr">
        <is>
          <t>Eq. A.6</t>
        </is>
      </c>
      <c r="D14" s="96" t="inlineStr">
        <is>
          <t>events/yr</t>
        </is>
      </c>
      <c r="E14" s="77">
        <f>E11*E13*0.000001</f>
        <v/>
      </c>
      <c r="F14" s="77">
        <f>F11*F13*0.000001</f>
        <v/>
      </c>
      <c r="G14" s="77">
        <f>G11*G13*0.000001</f>
        <v/>
      </c>
      <c r="H14" s="77">
        <f>H11*H13*0.000001</f>
        <v/>
      </c>
      <c r="I14" s="77">
        <f>I11*I13*0.000001</f>
        <v/>
      </c>
    </row>
    <row r="15" ht="18.75" customHeight="1" s="62">
      <c r="A15" s="92" t="inlineStr">
        <is>
          <t>Incoming Service Route Length (Power &amp; Telecom)</t>
        </is>
      </c>
      <c r="B15" s="93" t="inlineStr">
        <is>
          <t>LL</t>
        </is>
      </c>
      <c r="C15" s="92" t="inlineStr">
        <is>
          <t>Table A.2 / E.2</t>
        </is>
      </c>
      <c r="D15" s="93" t="inlineStr">
        <is>
          <t>m</t>
        </is>
      </c>
      <c r="E15" s="99" t="n">
        <v>500</v>
      </c>
      <c r="F15" s="99" t="n">
        <v>500</v>
      </c>
      <c r="G15" s="99" t="n">
        <v>500</v>
      </c>
      <c r="H15" s="99" t="n">
        <v>500</v>
      </c>
      <c r="I15" s="99" t="n">
        <v>500</v>
      </c>
    </row>
    <row r="16" ht="18.75" customHeight="1" s="62">
      <c r="A16" s="95" t="inlineStr">
        <is>
          <t>Line Installation &amp; Environmental Product (CI × CE × CT)</t>
        </is>
      </c>
      <c r="B16" s="96" t="inlineStr">
        <is>
          <t>CI·CE·CT</t>
        </is>
      </c>
      <c r="C16" s="95" t="inlineStr">
        <is>
          <t>Table A.2–A.4</t>
        </is>
      </c>
      <c r="D16" s="96" t="inlineStr">
        <is>
          <t>factor</t>
        </is>
      </c>
      <c r="E16" s="100" t="n">
        <v>0.05</v>
      </c>
      <c r="F16" s="100" t="n">
        <v>0.05</v>
      </c>
      <c r="G16" s="100" t="n">
        <v>0.05</v>
      </c>
      <c r="H16" s="100" t="n">
        <v>0.05</v>
      </c>
      <c r="I16" s="100" t="n">
        <v>0.05</v>
      </c>
    </row>
    <row r="17" ht="18.75" customHeight="1" s="62">
      <c r="A17" s="92" t="inlineStr">
        <is>
          <t>Adjacent Structure Collection Area &amp; Events (NDJ)</t>
        </is>
      </c>
      <c r="B17" s="93" t="inlineStr">
        <is>
          <t>NDJ</t>
        </is>
      </c>
      <c r="C17" s="92" t="inlineStr">
        <is>
          <t>Eq. A.5</t>
        </is>
      </c>
      <c r="D17" s="93" t="inlineStr">
        <is>
          <t>events/yr</t>
        </is>
      </c>
      <c r="E17" s="85">
        <f>E11*42420*0.5*1*0.000001</f>
        <v/>
      </c>
      <c r="F17" s="85">
        <f>F11*42420*0.5*1*0.000001</f>
        <v/>
      </c>
      <c r="G17" s="85">
        <f>G11*42420*0.5*1*0.000001</f>
        <v/>
      </c>
      <c r="H17" s="85">
        <f>H11*42420*0.5*1*0.000001</f>
        <v/>
      </c>
      <c r="I17" s="85">
        <f>I11*42420*0.5*1*0.000001</f>
        <v/>
      </c>
    </row>
    <row r="18" ht="18.75" customHeight="1" s="62">
      <c r="A18" s="95" t="inlineStr">
        <is>
          <t>Annual Flashes to &amp; Near Connected Line (NL / NI per service)</t>
        </is>
      </c>
      <c r="B18" s="96" t="inlineStr">
        <is>
          <t>NL_P / NI_P</t>
        </is>
      </c>
      <c r="C18" s="95" t="inlineStr">
        <is>
          <t>Eq. A.8 / A.10</t>
        </is>
      </c>
      <c r="D18" s="96" t="inlineStr">
        <is>
          <t>events/yr</t>
        </is>
      </c>
      <c r="E18" s="77">
        <f>E11*(40*E15)*E16*0.000001</f>
        <v/>
      </c>
      <c r="F18" s="77">
        <f>F11*(40*F15)*F16*0.000001</f>
        <v/>
      </c>
      <c r="G18" s="77">
        <f>G11*(40*G15)*G16*0.000001</f>
        <v/>
      </c>
      <c r="H18" s="77">
        <f>H11*(40*H15)*H16*0.000001</f>
        <v/>
      </c>
      <c r="I18" s="77">
        <f>I11*(40*I15)*I16*0.000001</f>
        <v/>
      </c>
    </row>
    <row r="19" ht="18.75" customHeight="1" s="62">
      <c r="A19" s="92" t="inlineStr">
        <is>
          <t>Touch &amp; Step Voltage Protection Factor</t>
        </is>
      </c>
      <c r="B19" s="93" t="inlineStr">
        <is>
          <t>PTA</t>
        </is>
      </c>
      <c r="C19" s="92" t="inlineStr">
        <is>
          <t>Table B.1</t>
        </is>
      </c>
      <c r="D19" s="93" t="inlineStr">
        <is>
          <t>prob</t>
        </is>
      </c>
      <c r="E19" s="100" t="n">
        <v>1</v>
      </c>
      <c r="F19" s="100" t="n">
        <v>0.01</v>
      </c>
      <c r="G19" s="100" t="n">
        <v>0.01</v>
      </c>
      <c r="H19" s="100" t="n">
        <v>0.01</v>
      </c>
      <c r="I19" s="100" t="n">
        <v>0.01</v>
      </c>
    </row>
    <row r="20" ht="18.75" customHeight="1" s="62">
      <c r="A20" s="95" t="inlineStr">
        <is>
          <t>Physical Damage Probability (External LPS Class)</t>
        </is>
      </c>
      <c r="B20" s="96" t="inlineStr">
        <is>
          <t>PB</t>
        </is>
      </c>
      <c r="C20" s="95" t="inlineStr">
        <is>
          <t>Table B.2</t>
        </is>
      </c>
      <c r="D20" s="96" t="inlineStr">
        <is>
          <t>prob</t>
        </is>
      </c>
      <c r="E20" s="100" t="n">
        <v>1</v>
      </c>
      <c r="F20" s="100" t="n">
        <v>0.2</v>
      </c>
      <c r="G20" s="100" t="n">
        <v>0.1</v>
      </c>
      <c r="H20" s="100" t="n">
        <v>0.05</v>
      </c>
      <c r="I20" s="100" t="n">
        <v>0.02</v>
      </c>
    </row>
    <row r="21" ht="18.75" customHeight="1" s="62">
      <c r="A21" s="92" t="inlineStr">
        <is>
          <t>Shock Probability from Direct Flash (PA = PTA × PB)</t>
        </is>
      </c>
      <c r="B21" s="93" t="inlineStr">
        <is>
          <t>PA</t>
        </is>
      </c>
      <c r="C21" s="92" t="inlineStr">
        <is>
          <t>Eq. B.1</t>
        </is>
      </c>
      <c r="D21" s="93" t="inlineStr">
        <is>
          <t>prob</t>
        </is>
      </c>
      <c r="E21" s="85">
        <f>E19*E20</f>
        <v/>
      </c>
      <c r="F21" s="85">
        <f>F19*F20</f>
        <v/>
      </c>
      <c r="G21" s="85">
        <f>G19*G20</f>
        <v/>
      </c>
      <c r="H21" s="85">
        <f>H19*H20</f>
        <v/>
      </c>
      <c r="I21" s="85">
        <f>I19*I20</f>
        <v/>
      </c>
    </row>
    <row r="22" ht="18.75" customHeight="1" s="62">
      <c r="A22" s="95" t="inlineStr">
        <is>
          <t>Coordinated SPD Protection Probability (PC = PSPD × CLD)</t>
        </is>
      </c>
      <c r="B22" s="96" t="inlineStr">
        <is>
          <t>PSPD / PC</t>
        </is>
      </c>
      <c r="C22" s="95" t="inlineStr">
        <is>
          <t>Table B.3</t>
        </is>
      </c>
      <c r="D22" s="96" t="inlineStr">
        <is>
          <t>prob</t>
        </is>
      </c>
      <c r="E22" s="100" t="n">
        <v>1</v>
      </c>
      <c r="F22" s="100" t="n">
        <v>0.05</v>
      </c>
      <c r="G22" s="100" t="n">
        <v>0.05</v>
      </c>
      <c r="H22" s="100" t="n">
        <v>0.02</v>
      </c>
      <c r="I22" s="100" t="n">
        <v>0.01</v>
      </c>
    </row>
    <row r="23" ht="18.75" customHeight="1" s="62">
      <c r="A23" s="92" t="inlineStr">
        <is>
          <t>LPS Mesh Width &amp; Spatial Shielding Factor (wm)</t>
        </is>
      </c>
      <c r="B23" s="93" t="inlineStr">
        <is>
          <t>wm</t>
        </is>
      </c>
      <c r="C23" s="92" t="inlineStr">
        <is>
          <t>IEC 62305-3</t>
        </is>
      </c>
      <c r="D23" s="93" t="inlineStr">
        <is>
          <t>m</t>
        </is>
      </c>
      <c r="E23" s="94" t="n">
        <v>0</v>
      </c>
      <c r="F23" s="94" t="n">
        <v>60</v>
      </c>
      <c r="G23" s="94" t="n">
        <v>45</v>
      </c>
      <c r="H23" s="94" t="n">
        <v>30</v>
      </c>
      <c r="I23" s="94" t="n">
        <v>20</v>
      </c>
    </row>
    <row r="24" ht="18.75" customHeight="1" s="62">
      <c r="A24" s="95" t="inlineStr">
        <is>
          <t>Internal Magnetic Surge Probability (PM = PSPD × PMS)</t>
        </is>
      </c>
      <c r="B24" s="96" t="inlineStr">
        <is>
          <t>PM</t>
        </is>
      </c>
      <c r="C24" s="95" t="inlineStr">
        <is>
          <t>Eq. B.4</t>
        </is>
      </c>
      <c r="D24" s="96" t="inlineStr">
        <is>
          <t>prob</t>
        </is>
      </c>
      <c r="E24" s="101">
        <f>E22*(((IF(E23&gt;0,0.12*E23,1)*IF(E23&gt;0,0.12*E23,1)*0.0001*(1/4)))^2)</f>
        <v/>
      </c>
      <c r="F24" s="101">
        <f>F22*(((IF(F23&gt;0,0.12*F23,1)*IF(F23&gt;0,0.12*F23,1)*0.0001*(1/4)))^2)</f>
        <v/>
      </c>
      <c r="G24" s="101">
        <f>G22*(((IF(G23&gt;0,0.12*G23,1)*IF(G23&gt;0,0.12*G23,1)*0.0001*(1/4)))^2)</f>
        <v/>
      </c>
      <c r="H24" s="101">
        <f>H22*(((IF(H23&gt;0,0.12*H23,1)*IF(H23&gt;0,0.12*H23,1)*0.0001*(1/4)))^2)</f>
        <v/>
      </c>
      <c r="I24" s="101">
        <f>I22*(((IF(I23&gt;0,0.12*I23,1)*IF(I23&gt;0,0.12*I23,1)*0.0001*(1/4)))^2)</f>
        <v/>
      </c>
    </row>
    <row r="25" ht="18.75" customHeight="1" s="62">
      <c r="A25" s="92" t="inlineStr">
        <is>
          <t>Equipotential Bonding Probability at Line Entrance (PEB)</t>
        </is>
      </c>
      <c r="B25" s="93" t="inlineStr">
        <is>
          <t>PEB / PV</t>
        </is>
      </c>
      <c r="C25" s="92" t="inlineStr">
        <is>
          <t>Table B.7</t>
        </is>
      </c>
      <c r="D25" s="93" t="inlineStr">
        <is>
          <t>prob</t>
        </is>
      </c>
      <c r="E25" s="100" t="n">
        <v>0.05</v>
      </c>
      <c r="F25" s="100" t="n">
        <v>0.05</v>
      </c>
      <c r="G25" s="100" t="n">
        <v>0.05</v>
      </c>
      <c r="H25" s="100" t="n">
        <v>0.02</v>
      </c>
      <c r="I25" s="100" t="n">
        <v>0.01</v>
      </c>
    </row>
    <row r="26" ht="18.75" customHeight="1" s="62">
      <c r="A26" s="95" t="inlineStr">
        <is>
          <t>Service Line Shock Probability (PU = PTU × PEB × PLD × CLD)</t>
        </is>
      </c>
      <c r="B26" s="96" t="inlineStr">
        <is>
          <t>PU</t>
        </is>
      </c>
      <c r="C26" s="95" t="inlineStr">
        <is>
          <t>Eq. B.8</t>
        </is>
      </c>
      <c r="D26" s="96" t="inlineStr">
        <is>
          <t>prob</t>
        </is>
      </c>
      <c r="E26" s="77">
        <f>0.01*E25*1*1</f>
        <v/>
      </c>
      <c r="F26" s="77">
        <f>0.01*F25*1*1</f>
        <v/>
      </c>
      <c r="G26" s="77">
        <f>0.01*G25*1*1</f>
        <v/>
      </c>
      <c r="H26" s="77">
        <f>0.01*H25*1*1</f>
        <v/>
      </c>
      <c r="I26" s="77">
        <f>0.01*I25*1*1</f>
        <v/>
      </c>
    </row>
    <row r="27" ht="18.75" customHeight="1" s="62">
      <c r="A27" s="92" t="inlineStr">
        <is>
          <t>Induced Line Surge Failure Probability (PZ_P + PZ_T)</t>
        </is>
      </c>
      <c r="B27" s="93" t="inlineStr">
        <is>
          <t>PZ_sum</t>
        </is>
      </c>
      <c r="C27" s="92" t="inlineStr">
        <is>
          <t>Eq. B.11</t>
        </is>
      </c>
      <c r="D27" s="93" t="inlineStr">
        <is>
          <t>prob</t>
        </is>
      </c>
      <c r="E27" s="85">
        <f>E22*(0.16+0.08)*0.3</f>
        <v/>
      </c>
      <c r="F27" s="85">
        <f>F22*(0.16+0.08)*0.3</f>
        <v/>
      </c>
      <c r="G27" s="85">
        <f>G22*(0.16+0.08)*0.3</f>
        <v/>
      </c>
      <c r="H27" s="85">
        <f>H22*(0.16+0.08)*0.3</f>
        <v/>
      </c>
      <c r="I27" s="85">
        <f>I22*(0.16+0.08)*0.3</f>
        <v/>
      </c>
    </row>
    <row r="28" ht="18.75" customHeight="1" s="62">
      <c r="A28" s="95" t="inlineStr">
        <is>
          <t>Loss Factor for Touch &amp; Step Shock (LA1 = rt × LT1 × nZ/nt)</t>
        </is>
      </c>
      <c r="B28" s="96" t="inlineStr">
        <is>
          <t>LA1</t>
        </is>
      </c>
      <c r="C28" s="95" t="inlineStr">
        <is>
          <t>Eq. C.1</t>
        </is>
      </c>
      <c r="D28" s="96" t="inlineStr">
        <is>
          <t>loss</t>
        </is>
      </c>
      <c r="E28" s="102" t="n">
        <v>0.0001</v>
      </c>
      <c r="F28" s="102" t="n">
        <v>0.0001</v>
      </c>
      <c r="G28" s="102" t="n">
        <v>0.0001</v>
      </c>
      <c r="H28" s="102" t="n">
        <v>0.0001</v>
      </c>
      <c r="I28" s="102" t="n">
        <v>0.0001</v>
      </c>
    </row>
    <row r="29" ht="18.75" customHeight="1" s="62">
      <c r="A29" s="92" t="inlineStr">
        <is>
          <t>Loss Factor for Physical Fire Damage (LB1 = LV1 = rp×rf×hz×LF1×nZ/nt)</t>
        </is>
      </c>
      <c r="B29" s="93" t="inlineStr">
        <is>
          <t>LB1 / LV1</t>
        </is>
      </c>
      <c r="C29" s="92" t="inlineStr">
        <is>
          <t>Eq. C.3</t>
        </is>
      </c>
      <c r="D29" s="93" t="inlineStr">
        <is>
          <t>loss</t>
        </is>
      </c>
      <c r="E29" s="102" t="n">
        <v>8.000000000000001e-05</v>
      </c>
      <c r="F29" s="102" t="n">
        <v>8.000000000000001e-05</v>
      </c>
      <c r="G29" s="102" t="n">
        <v>8.000000000000001e-05</v>
      </c>
      <c r="H29" s="102" t="n">
        <v>8.000000000000001e-05</v>
      </c>
      <c r="I29" s="102" t="n">
        <v>8.000000000000001e-05</v>
      </c>
    </row>
    <row r="30" ht="18.75" customHeight="1" s="62">
      <c r="A30" s="95" t="inlineStr">
        <is>
          <t>Loss Factor for Internal Systems Failure (LC1 / LC2 / LC4)</t>
        </is>
      </c>
      <c r="B30" s="96" t="inlineStr">
        <is>
          <t>LC2 (Pub)</t>
        </is>
      </c>
      <c r="C30" s="95" t="inlineStr">
        <is>
          <t>Eq. C.8</t>
        </is>
      </c>
      <c r="D30" s="96" t="inlineStr">
        <is>
          <t>loss</t>
        </is>
      </c>
      <c r="E30" s="102" t="n">
        <v>0.01</v>
      </c>
      <c r="F30" s="102" t="n">
        <v>0.01</v>
      </c>
      <c r="G30" s="102" t="n">
        <v>0.01</v>
      </c>
      <c r="H30" s="102" t="n">
        <v>0.01</v>
      </c>
      <c r="I30" s="102" t="n">
        <v>0.01</v>
      </c>
    </row>
    <row r="31" ht="18.75" customHeight="1" s="62">
      <c r="A31" s="92" t="inlineStr">
        <is>
          <t>RA: Injury due to Touch &amp; Step Voltage (Direct Strike S1)</t>
        </is>
      </c>
      <c r="B31" s="93" t="inlineStr">
        <is>
          <t>RA (×10⁻⁵)</t>
        </is>
      </c>
      <c r="C31" s="92" t="inlineStr">
        <is>
          <t>ND×PA×LA1</t>
        </is>
      </c>
      <c r="D31" s="93" t="inlineStr">
        <is>
          <t>×10⁻⁵/yr</t>
        </is>
      </c>
      <c r="E31" s="86">
        <f>E12*E21*E28*100000</f>
        <v/>
      </c>
      <c r="F31" s="86">
        <f>F12*F21*F28*100000</f>
        <v/>
      </c>
      <c r="G31" s="86">
        <f>G12*G21*G28*100000</f>
        <v/>
      </c>
      <c r="H31" s="86">
        <f>H12*H21*H28*100000</f>
        <v/>
      </c>
      <c r="I31" s="86">
        <f>I12*I21*I28*100000</f>
        <v/>
      </c>
    </row>
    <row r="32" ht="18.75" customHeight="1" s="62">
      <c r="A32" s="95" t="inlineStr">
        <is>
          <t>RB: Physical Fire Damage to Structure (Direct Strike S1)</t>
        </is>
      </c>
      <c r="B32" s="96" t="inlineStr">
        <is>
          <t>RB (×10⁻⁵)</t>
        </is>
      </c>
      <c r="C32" s="95" t="inlineStr">
        <is>
          <t>ND×PB×LB1</t>
        </is>
      </c>
      <c r="D32" s="96" t="inlineStr">
        <is>
          <t>×10⁻⁵/yr</t>
        </is>
      </c>
      <c r="E32" s="78">
        <f>E12*E20*E29*100000</f>
        <v/>
      </c>
      <c r="F32" s="78">
        <f>F12*F20*F29*100000</f>
        <v/>
      </c>
      <c r="G32" s="78">
        <f>G12*G20*G29*100000</f>
        <v/>
      </c>
      <c r="H32" s="78">
        <f>H12*H20*H29*100000</f>
        <v/>
      </c>
      <c r="I32" s="78">
        <f>I12*I20*I29*100000</f>
        <v/>
      </c>
    </row>
    <row r="33" ht="18.75" customHeight="1" s="62">
      <c r="A33" s="92" t="inlineStr">
        <is>
          <t>RC + RM: Failure of Internal Systems (S1 + S2)</t>
        </is>
      </c>
      <c r="B33" s="93" t="inlineStr">
        <is>
          <t>RC+RM (×10⁻⁵)</t>
        </is>
      </c>
      <c r="C33" s="92" t="inlineStr">
        <is>
          <t>IEC Table 2</t>
        </is>
      </c>
      <c r="D33" s="93" t="inlineStr">
        <is>
          <t>×10⁻⁵/yr</t>
        </is>
      </c>
      <c r="E33" s="86">
        <f>(E12*E22+E14*E24)*0*1*100000</f>
        <v/>
      </c>
      <c r="F33" s="86">
        <f>(F12*F22+F14*F24)*0*1*100000</f>
        <v/>
      </c>
      <c r="G33" s="86">
        <f>(G12*G22+G14*G24)*0*1*100000</f>
        <v/>
      </c>
      <c r="H33" s="86">
        <f>(H12*H22+H14*H24)*0*1*100000</f>
        <v/>
      </c>
      <c r="I33" s="86">
        <f>(I12*I22+I14*I24)*0*1*100000</f>
        <v/>
      </c>
    </row>
    <row r="34" ht="18.75" customHeight="1" s="62">
      <c r="A34" s="95" t="inlineStr">
        <is>
          <t>RU (Power + Telecom): Injury via Incoming Service Lines (S3)</t>
        </is>
      </c>
      <c r="B34" s="96" t="inlineStr">
        <is>
          <t>RU (×10⁻⁵)</t>
        </is>
      </c>
      <c r="C34" s="95" t="inlineStr">
        <is>
          <t>2×(NL+NDJ)×PU×LU1</t>
        </is>
      </c>
      <c r="D34" s="96" t="inlineStr">
        <is>
          <t>×10⁻⁵/yr</t>
        </is>
      </c>
      <c r="E34" s="78">
        <f>2*(E18+E17)*E26*(0.01*0.01)*100000</f>
        <v/>
      </c>
      <c r="F34" s="78">
        <f>2*(F18+F17)*F26*(0.01*0.01)*100000</f>
        <v/>
      </c>
      <c r="G34" s="78">
        <f>2*(G18+G17)*G26*(0.01*0.01)*100000</f>
        <v/>
      </c>
      <c r="H34" s="78">
        <f>2*(H18+H17)*H26*(0.01*0.01)*100000</f>
        <v/>
      </c>
      <c r="I34" s="78">
        <f>2*(I18+I17)*I26*(0.01*0.01)*100000</f>
        <v/>
      </c>
    </row>
    <row r="35" ht="18.75" customHeight="1" s="62">
      <c r="A35" s="92" t="inlineStr">
        <is>
          <t>RV (Power + Telecom): Physical Fire via Service Lines (S3)</t>
        </is>
      </c>
      <c r="B35" s="93" t="inlineStr">
        <is>
          <t>RV (×10⁻⁵)</t>
        </is>
      </c>
      <c r="C35" s="92" t="inlineStr">
        <is>
          <t>2×(NL+NDJ)×PV×LV1</t>
        </is>
      </c>
      <c r="D35" s="93" t="inlineStr">
        <is>
          <t>×10⁻⁵/yr</t>
        </is>
      </c>
      <c r="E35" s="86">
        <f>2*(E18+E17)*E25*E29*100000</f>
        <v/>
      </c>
      <c r="F35" s="86">
        <f>2*(F18+F17)*F25*F29*100000</f>
        <v/>
      </c>
      <c r="G35" s="86">
        <f>2*(G18+G17)*G25*G29*100000</f>
        <v/>
      </c>
      <c r="H35" s="86">
        <f>2*(H18+H17)*H25*H29*100000</f>
        <v/>
      </c>
      <c r="I35" s="86">
        <f>2*(I18+I17)*I25*I29*100000</f>
        <v/>
      </c>
    </row>
    <row r="36" ht="18.75" customHeight="1" s="62">
      <c r="A36" s="95" t="inlineStr">
        <is>
          <t>RW + RZ (Power + Telecom): Internal Failure via Lines (S3 + S4)</t>
        </is>
      </c>
      <c r="B36" s="96" t="inlineStr">
        <is>
          <t>RW+RZ (×10⁻⁵)</t>
        </is>
      </c>
      <c r="C36" s="95" t="inlineStr">
        <is>
          <t>IEC Table 2</t>
        </is>
      </c>
      <c r="D36" s="96" t="inlineStr">
        <is>
          <t>×10⁻⁵/yr</t>
        </is>
      </c>
      <c r="E36" s="78">
        <f>(2*(E18+E17)*E22 + (E18*100)*E27)*0*1*100000</f>
        <v/>
      </c>
      <c r="F36" s="78">
        <f>(2*(F18+F17)*F22 + (F18*100)*F27)*0*1*100000</f>
        <v/>
      </c>
      <c r="G36" s="78">
        <f>(2*(G18+G17)*G22 + (G18*100)*G27)*0*1*100000</f>
        <v/>
      </c>
      <c r="H36" s="78">
        <f>(2*(H18+H17)*H22 + (H18*100)*H27)*0*1*100000</f>
        <v/>
      </c>
      <c r="I36" s="78">
        <f>(2*(I18+I17)*I22 + (I18*100)*I27)*0*1*100000</f>
        <v/>
      </c>
    </row>
    <row r="37" ht="18.75" customHeight="1" s="62">
      <c r="A37" s="103" t="inlineStr">
        <is>
          <t>TOTAL RISK R1: Loss of Human Life (Limit RT1 = 1.00 × 10⁻⁵)</t>
        </is>
      </c>
      <c r="B37" s="104" t="inlineStr">
        <is>
          <t>R1 (×10⁻⁵)</t>
        </is>
      </c>
      <c r="C37" s="103" t="inlineStr">
        <is>
          <t>Sum(RA..RZ)</t>
        </is>
      </c>
      <c r="D37" s="104" t="inlineStr">
        <is>
          <t>×10⁻⁵/yr</t>
        </is>
      </c>
      <c r="E37" s="105">
        <f>SUM(E31:E36)</f>
        <v/>
      </c>
      <c r="F37" s="105">
        <f>SUM(F31:F36)</f>
        <v/>
      </c>
      <c r="G37" s="105">
        <f>SUM(G31:G36)</f>
        <v/>
      </c>
      <c r="H37" s="105">
        <f>SUM(H31:H36)</f>
        <v/>
      </c>
      <c r="I37" s="105">
        <f>SUM(I31:I36)</f>
        <v/>
      </c>
    </row>
    <row r="38" ht="18.75" customHeight="1" s="62">
      <c r="A38" s="103" t="inlineStr">
        <is>
          <t>TOTAL RISK R2: Loss of Public Service (Limit RT2 = 1.00 × 10⁻³)</t>
        </is>
      </c>
      <c r="B38" s="104" t="inlineStr">
        <is>
          <t>R2 (×10⁻³)</t>
        </is>
      </c>
      <c r="C38" s="103" t="inlineStr">
        <is>
          <t>IEC Eq. 2</t>
        </is>
      </c>
      <c r="D38" s="104" t="inlineStr">
        <is>
          <t>×10⁻³/yr</t>
        </is>
      </c>
      <c r="E38" s="105">
        <f>((E12*E20 + 2*(E18+E17)*E25)*(0.2*0.01*0.1*1) + (E12*E22 + E14*E24 + 2*(E18+E17)*E22 + (E18*100)*E27)*E30)*1000</f>
        <v/>
      </c>
      <c r="F38" s="105">
        <f>((F12*F20 + 2*(F18+F17)*F25)*(0.2*0.01*0.1*1) + (F12*F22 + F14*F24 + 2*(F18+F17)*F22 + (F18*100)*F27)*F30)*1000</f>
        <v/>
      </c>
      <c r="G38" s="105">
        <f>((G12*G20 + 2*(G18+G17)*G25)*(0.2*0.01*0.1*1) + (G12*G22 + G14*G24 + 2*(G18+G17)*G22 + (G18*100)*G27)*G30)*1000</f>
        <v/>
      </c>
      <c r="H38" s="105">
        <f>((H12*H20 + 2*(H18+H17)*H25)*(0.2*0.01*0.1*1) + (H12*H22 + H14*H24 + 2*(H18+H17)*H22 + (H18*100)*H27)*H30)*1000</f>
        <v/>
      </c>
      <c r="I38" s="105">
        <f>((I12*I20 + 2*(I18+I17)*I25)*(0.2*0.01*0.1*1) + (I12*I22 + I14*I24 + 2*(I18+I17)*I22 + (I18*100)*I27)*I30)*1000</f>
        <v/>
      </c>
    </row>
    <row r="39" ht="18.75" customHeight="1" s="62">
      <c r="A39" s="103" t="inlineStr">
        <is>
          <t>TOTAL RISK R4: Economic Value Loss (Limit RT4 = 1.00 × 10⁻³)</t>
        </is>
      </c>
      <c r="B39" s="104" t="inlineStr">
        <is>
          <t>R4 (×10⁻³)</t>
        </is>
      </c>
      <c r="C39" s="103" t="inlineStr">
        <is>
          <t>IEC Eq. 4</t>
        </is>
      </c>
      <c r="D39" s="104" t="inlineStr">
        <is>
          <t>×10⁻³/yr</t>
        </is>
      </c>
      <c r="E39" s="105">
        <f>((E12*E20 + 2*(E18+E17)*E25)*(0.2*0.01*0.1) + (E12*E22 + E14*E24 + 2*(E18+E17)*E22 + (E18*100)*E27)*(0.0001*0.15))*1000</f>
        <v/>
      </c>
      <c r="F39" s="105">
        <f>((F12*F20 + 2*(F18+F17)*F25)*(0.2*0.01*0.1) + (F12*F22 + F14*F24 + 2*(F18+F17)*F22 + (F18*100)*F27)*(0.0001*0.15))*1000</f>
        <v/>
      </c>
      <c r="G39" s="105">
        <f>((G12*G20 + 2*(G18+G17)*G25)*(0.2*0.01*0.1) + (G12*G22 + G14*G24 + 2*(G18+G17)*G22 + (G18*100)*G27)*(0.0001*0.15))*1000</f>
        <v/>
      </c>
      <c r="H39" s="105">
        <f>((H12*H20 + 2*(H18+H17)*H25)*(0.2*0.01*0.1) + (H12*H22 + H14*H24 + 2*(H18+H17)*H22 + (H18*100)*H27)*(0.0001*0.15))*1000</f>
        <v/>
      </c>
      <c r="I39" s="105">
        <f>((I12*I20 + 2*(I18+I17)*I25)*(0.2*0.01*0.1) + (I12*I22 + I14*I24 + 2*(I18+I17)*I22 + (I18*100)*I27)*(0.0001*0.15))*1000</f>
        <v/>
      </c>
    </row>
    <row r="40" ht="21.75" customHeight="1" s="62">
      <c r="A40" s="106" t="inlineStr">
        <is>
          <t>Statutory Compliance Verdict (R1 ≤ 1.00e-5 AND R2 ≤ 1.00e-3)</t>
        </is>
      </c>
      <c r="B40" s="107" t="inlineStr">
        <is>
          <t>Verdict</t>
        </is>
      </c>
      <c r="C40" s="106" t="inlineStr">
        <is>
          <t>IEC 62305-2 Sec 5.3</t>
        </is>
      </c>
      <c r="D40" s="107" t="inlineStr">
        <is>
          <t>PASS / FAIL</t>
        </is>
      </c>
      <c r="E40" s="108">
        <f>IF(AND(E37&lt;=1,E38&lt;=1),"PASS","FAIL")</f>
        <v/>
      </c>
      <c r="F40" s="108">
        <f>IF(AND(F37&lt;=1,F38&lt;=1),"PASS","FAIL")</f>
        <v/>
      </c>
      <c r="G40" s="108">
        <f>IF(AND(G37&lt;=1,G38&lt;=1),"PASS","FAIL")</f>
        <v/>
      </c>
      <c r="H40" s="108">
        <f>IF(AND(H37&lt;=1,H38&lt;=1),"PASS","FAIL")</f>
        <v/>
      </c>
      <c r="I40" s="109">
        <f>IF(AND(I37&lt;=1,I38&lt;=1),"PASS","FAIL")</f>
        <v/>
      </c>
    </row>
    <row r="41" ht="18.75" customHeight="1" s="62">
      <c r="A41" s="103" t="inlineStr">
        <is>
          <t>IEC 62305-2 Ed.3 Simplified Single-Line Mode R1 (1 Line, No Adj NDJ)</t>
        </is>
      </c>
      <c r="B41" s="104" t="inlineStr">
        <is>
          <t>R1_Ed3 (×10⁻⁵)</t>
        </is>
      </c>
      <c r="C41" s="103" t="inlineStr">
        <is>
          <t>Ed.3 Single-Line</t>
        </is>
      </c>
      <c r="D41" s="104" t="inlineStr">
        <is>
          <t>×10⁻⁵/yr</t>
        </is>
      </c>
      <c r="E41" s="105">
        <f>E31+E32+E33+((E18*E26*(0.01*0.01))+(E18*E25*E29))*100000</f>
        <v/>
      </c>
      <c r="F41" s="105">
        <f>F31+F32+F33+((F18*F26*(0.01*0.01))+(F18*F25*F29))*100000</f>
        <v/>
      </c>
      <c r="G41" s="105">
        <f>G31+G32+G33+((G18*G26*(0.01*0.01))+(G18*G25*G29))*100000</f>
        <v/>
      </c>
      <c r="H41" s="105">
        <f>H31+H32+H33+((H18*H26*(0.01*0.01))+(H18*H25*H29))*100000</f>
        <v/>
      </c>
      <c r="I41" s="105">
        <f>I31+I32+I33+((I18*I26*(0.01*0.01))+(I18*I25*I29))*100000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8" customWidth="1" style="61" min="2" max="2"/>
    <col width="23" customWidth="1" style="61" min="3" max="3"/>
    <col width="15" customWidth="1" style="61" min="4" max="4"/>
    <col width="17" customWidth="1" style="61" min="5" max="5"/>
    <col width="16" customWidth="1" style="61" min="6" max="6"/>
    <col width="17" customWidth="1" style="61" min="7" max="7"/>
    <col width="16" customWidth="1" style="61" min="8" max="8"/>
    <col width="24" customWidth="1" style="61" min="9" max="9"/>
  </cols>
  <sheetData>
    <row r="1" ht="27.75" customHeight="1" s="62">
      <c r="A1" s="63" t="inlineStr">
        <is>
          <t>IEC 62305-2 / BS EN 62305-2 LIGHTNING RISK CALCULATION SHEET — INDONESIA — Reference REFERENCE WORKBOOK BASELINE (BS EN 62305-2)</t>
        </is>
      </c>
    </row>
    <row r="2" ht="19.5" customHeight="1" s="62">
      <c r="A2" s="64" t="inlineStr">
        <is>
          <t>Governing Standard: BS EN 62305-2:2012 / IEC 62305-2:2010 | Meteorological Authority: Reference Calculation Sheet Baseline (TD=22, Graphical Ad=61,911m²) | Dual-Line (Power + Telecom) &amp; Adjacent Structure Model</t>
        </is>
      </c>
    </row>
    <row r="3"/>
    <row r="4" ht="24" customHeight="1" s="62">
      <c r="A4" s="71" t="inlineStr">
        <is>
          <t>Parameter / Risk Component Description</t>
        </is>
      </c>
      <c r="B4" s="71" t="inlineStr">
        <is>
          <t>Symbol</t>
        </is>
      </c>
      <c r="C4" s="71" t="inlineStr">
        <is>
          <t>IEC Clause / Ref</t>
        </is>
      </c>
      <c r="D4" s="71" t="inlineStr">
        <is>
          <t>Unit / Mode</t>
        </is>
      </c>
      <c r="E4" s="71" t="inlineStr">
        <is>
          <t>No Protection</t>
        </is>
      </c>
      <c r="F4" s="71" t="inlineStr">
        <is>
          <t>Class IV LPS</t>
        </is>
      </c>
      <c r="G4" s="71" t="inlineStr">
        <is>
          <t>Class III LPS</t>
        </is>
      </c>
      <c r="H4" s="71" t="inlineStr">
        <is>
          <t>Class II LPS</t>
        </is>
      </c>
      <c r="I4" s="71" t="inlineStr">
        <is>
          <t>Class I LPS (Target)</t>
        </is>
      </c>
    </row>
    <row r="5" ht="18.75" customHeight="1" s="62">
      <c r="A5" s="92" t="inlineStr">
        <is>
          <t>Structure Length</t>
        </is>
      </c>
      <c r="B5" s="93" t="inlineStr">
        <is>
          <t>L</t>
        </is>
      </c>
      <c r="C5" s="92" t="inlineStr">
        <is>
          <t>Annex A.2</t>
        </is>
      </c>
      <c r="D5" s="93" t="inlineStr">
        <is>
          <t>m</t>
        </is>
      </c>
      <c r="E5" s="94" t="n">
        <v>95.59999999999999</v>
      </c>
      <c r="F5" s="94" t="n">
        <v>95.59999999999999</v>
      </c>
      <c r="G5" s="94" t="n">
        <v>95.59999999999999</v>
      </c>
      <c r="H5" s="94" t="n">
        <v>95.59999999999999</v>
      </c>
      <c r="I5" s="94" t="n">
        <v>95.59999999999999</v>
      </c>
    </row>
    <row r="6" ht="18.75" customHeight="1" s="62">
      <c r="A6" s="95" t="inlineStr">
        <is>
          <t>Structure Width</t>
        </is>
      </c>
      <c r="B6" s="96" t="inlineStr">
        <is>
          <t>W</t>
        </is>
      </c>
      <c r="C6" s="95" t="inlineStr">
        <is>
          <t>Annex A.2</t>
        </is>
      </c>
      <c r="D6" s="96" t="inlineStr">
        <is>
          <t>m</t>
        </is>
      </c>
      <c r="E6" s="94" t="n">
        <v>100.2</v>
      </c>
      <c r="F6" s="94" t="n">
        <v>100.2</v>
      </c>
      <c r="G6" s="94" t="n">
        <v>100.2</v>
      </c>
      <c r="H6" s="94" t="n">
        <v>100.2</v>
      </c>
      <c r="I6" s="94" t="n">
        <v>100.2</v>
      </c>
    </row>
    <row r="7" ht="18.75" customHeight="1" s="62">
      <c r="A7" s="92" t="inlineStr">
        <is>
          <t>Structure Max Height</t>
        </is>
      </c>
      <c r="B7" s="93" t="inlineStr">
        <is>
          <t>H</t>
        </is>
      </c>
      <c r="C7" s="92" t="inlineStr">
        <is>
          <t>Annex A.2</t>
        </is>
      </c>
      <c r="D7" s="93" t="inlineStr">
        <is>
          <t>m</t>
        </is>
      </c>
      <c r="E7" s="94" t="n">
        <v>27</v>
      </c>
      <c r="F7" s="94" t="n">
        <v>27</v>
      </c>
      <c r="G7" s="94" t="n">
        <v>27</v>
      </c>
      <c r="H7" s="94" t="n">
        <v>27</v>
      </c>
      <c r="I7" s="94" t="n">
        <v>27</v>
      </c>
    </row>
    <row r="8" ht="18.75" customHeight="1" s="62">
      <c r="A8" s="95" t="inlineStr">
        <is>
          <t>Collection Area of Structure (Graphical / Complex Roof)</t>
        </is>
      </c>
      <c r="B8" s="96" t="inlineStr">
        <is>
          <t>AD</t>
        </is>
      </c>
      <c r="C8" s="95" t="inlineStr">
        <is>
          <t>Eq. A.3 / Graphical</t>
        </is>
      </c>
      <c r="D8" s="96" t="inlineStr">
        <is>
          <t>m²</t>
        </is>
      </c>
      <c r="E8" s="110" t="n">
        <v>61911</v>
      </c>
      <c r="F8" s="110" t="n">
        <v>61911</v>
      </c>
      <c r="G8" s="110" t="n">
        <v>61911</v>
      </c>
      <c r="H8" s="110" t="n">
        <v>61911</v>
      </c>
      <c r="I8" s="110" t="n">
        <v>61911</v>
      </c>
    </row>
    <row r="9" ht="18.75" customHeight="1" s="62">
      <c r="A9" s="92" t="inlineStr">
        <is>
          <t>Location Factor of Structure</t>
        </is>
      </c>
      <c r="B9" s="93" t="inlineStr">
        <is>
          <t>CD</t>
        </is>
      </c>
      <c r="C9" s="92" t="inlineStr">
        <is>
          <t>Table A.1</t>
        </is>
      </c>
      <c r="D9" s="93" t="inlineStr">
        <is>
          <t>factor</t>
        </is>
      </c>
      <c r="E9" s="98" t="n">
        <v>0.5</v>
      </c>
      <c r="F9" s="98" t="n">
        <v>0.5</v>
      </c>
      <c r="G9" s="98" t="n">
        <v>0.5</v>
      </c>
      <c r="H9" s="98" t="n">
        <v>0.5</v>
      </c>
      <c r="I9" s="98" t="n">
        <v>0.5</v>
      </c>
    </row>
    <row r="10" ht="18.75" customHeight="1" s="62">
      <c r="A10" s="95" t="inlineStr">
        <is>
          <t>Thunderstorm Days per Year</t>
        </is>
      </c>
      <c r="B10" s="96" t="inlineStr">
        <is>
          <t>TD</t>
        </is>
      </c>
      <c r="C10" s="95" t="inlineStr">
        <is>
          <t>Meteorological</t>
        </is>
      </c>
      <c r="D10" s="96" t="inlineStr">
        <is>
          <t>days/yr</t>
        </is>
      </c>
      <c r="E10" s="94" t="n">
        <v>22</v>
      </c>
      <c r="F10" s="94" t="n">
        <v>22</v>
      </c>
      <c r="G10" s="94" t="n">
        <v>22</v>
      </c>
      <c r="H10" s="94" t="n">
        <v>22</v>
      </c>
      <c r="I10" s="94" t="n">
        <v>22</v>
      </c>
    </row>
    <row r="11" ht="18.75" customHeight="1" s="62">
      <c r="A11" s="92" t="inlineStr">
        <is>
          <t>Lightning Ground Flash Density</t>
        </is>
      </c>
      <c r="B11" s="93" t="inlineStr">
        <is>
          <t>NG</t>
        </is>
      </c>
      <c r="C11" s="92" t="inlineStr">
        <is>
          <t>Eq. A.1 / Network</t>
        </is>
      </c>
      <c r="D11" s="93" t="inlineStr">
        <is>
          <t>fl/km²/yr</t>
        </is>
      </c>
      <c r="E11" s="98" t="n">
        <v>2.2</v>
      </c>
      <c r="F11" s="98" t="n">
        <v>2.2</v>
      </c>
      <c r="G11" s="98" t="n">
        <v>2.2</v>
      </c>
      <c r="H11" s="98" t="n">
        <v>2.2</v>
      </c>
      <c r="I11" s="98" t="n">
        <v>2.2</v>
      </c>
    </row>
    <row r="12" ht="18.75" customHeight="1" s="62">
      <c r="A12" s="95" t="inlineStr">
        <is>
          <t>Annual Direct Flashes to Structure</t>
        </is>
      </c>
      <c r="B12" s="96" t="inlineStr">
        <is>
          <t>ND</t>
        </is>
      </c>
      <c r="C12" s="95" t="inlineStr">
        <is>
          <t>Eq. A.4</t>
        </is>
      </c>
      <c r="D12" s="96" t="inlineStr">
        <is>
          <t>events/yr</t>
        </is>
      </c>
      <c r="E12" s="77">
        <f>E11*E8*E9*0.000001</f>
        <v/>
      </c>
      <c r="F12" s="77">
        <f>F11*F8*F9*0.000001</f>
        <v/>
      </c>
      <c r="G12" s="77">
        <f>G11*G8*G9*0.000001</f>
        <v/>
      </c>
      <c r="H12" s="77">
        <f>H11*H8*H9*0.000001</f>
        <v/>
      </c>
      <c r="I12" s="77">
        <f>I11*I8*I9*0.000001</f>
        <v/>
      </c>
    </row>
    <row r="13" ht="18.75" customHeight="1" s="62">
      <c r="A13" s="92" t="inlineStr">
        <is>
          <t>Collection Area of Flashes Near Structure</t>
        </is>
      </c>
      <c r="B13" s="93" t="inlineStr">
        <is>
          <t>AM</t>
        </is>
      </c>
      <c r="C13" s="92" t="inlineStr">
        <is>
          <t>Eq. A.7</t>
        </is>
      </c>
      <c r="D13" s="93" t="inlineStr">
        <is>
          <t>m²</t>
        </is>
      </c>
      <c r="E13" s="84">
        <f>2*500*(E5+E6)+(PI()*500*500)</f>
        <v/>
      </c>
      <c r="F13" s="84">
        <f>2*500*(F5+F6)+(PI()*500*500)</f>
        <v/>
      </c>
      <c r="G13" s="84">
        <f>2*500*(G5+G6)+(PI()*500*500)</f>
        <v/>
      </c>
      <c r="H13" s="84">
        <f>2*500*(H5+H6)+(PI()*500*500)</f>
        <v/>
      </c>
      <c r="I13" s="84">
        <f>2*500*(I5+I6)+(PI()*500*500)</f>
        <v/>
      </c>
    </row>
    <row r="14" ht="18.75" customHeight="1" s="62">
      <c r="A14" s="95" t="inlineStr">
        <is>
          <t>Annual Flashes Near Structure</t>
        </is>
      </c>
      <c r="B14" s="96" t="inlineStr">
        <is>
          <t>NM</t>
        </is>
      </c>
      <c r="C14" s="95" t="inlineStr">
        <is>
          <t>Eq. A.6</t>
        </is>
      </c>
      <c r="D14" s="96" t="inlineStr">
        <is>
          <t>events/yr</t>
        </is>
      </c>
      <c r="E14" s="77">
        <f>E11*E13*0.000001</f>
        <v/>
      </c>
      <c r="F14" s="77">
        <f>F11*F13*0.000001</f>
        <v/>
      </c>
      <c r="G14" s="77">
        <f>G11*G13*0.000001</f>
        <v/>
      </c>
      <c r="H14" s="77">
        <f>H11*H13*0.000001</f>
        <v/>
      </c>
      <c r="I14" s="77">
        <f>I11*I13*0.000001</f>
        <v/>
      </c>
    </row>
    <row r="15" ht="18.75" customHeight="1" s="62">
      <c r="A15" s="92" t="inlineStr">
        <is>
          <t>Incoming Service Route Length (Power &amp; Telecom)</t>
        </is>
      </c>
      <c r="B15" s="93" t="inlineStr">
        <is>
          <t>LL</t>
        </is>
      </c>
      <c r="C15" s="92" t="inlineStr">
        <is>
          <t>Table A.2 / E.2</t>
        </is>
      </c>
      <c r="D15" s="93" t="inlineStr">
        <is>
          <t>m</t>
        </is>
      </c>
      <c r="E15" s="99" t="n">
        <v>1000</v>
      </c>
      <c r="F15" s="99" t="n">
        <v>1000</v>
      </c>
      <c r="G15" s="99" t="n">
        <v>1000</v>
      </c>
      <c r="H15" s="99" t="n">
        <v>1000</v>
      </c>
      <c r="I15" s="99" t="n">
        <v>1000</v>
      </c>
    </row>
    <row r="16" ht="18.75" customHeight="1" s="62">
      <c r="A16" s="95" t="inlineStr">
        <is>
          <t>Line Installation &amp; Environmental Product (CI × CE × CT)</t>
        </is>
      </c>
      <c r="B16" s="96" t="inlineStr">
        <is>
          <t>CI·CE·CT</t>
        </is>
      </c>
      <c r="C16" s="95" t="inlineStr">
        <is>
          <t>Table A.2–A.4</t>
        </is>
      </c>
      <c r="D16" s="96" t="inlineStr">
        <is>
          <t>factor</t>
        </is>
      </c>
      <c r="E16" s="100" t="n">
        <v>0.05</v>
      </c>
      <c r="F16" s="100" t="n">
        <v>0.05</v>
      </c>
      <c r="G16" s="100" t="n">
        <v>0.05</v>
      </c>
      <c r="H16" s="100" t="n">
        <v>0.05</v>
      </c>
      <c r="I16" s="100" t="n">
        <v>0.05</v>
      </c>
    </row>
    <row r="17" ht="18.75" customHeight="1" s="62">
      <c r="A17" s="92" t="inlineStr">
        <is>
          <t>Adjacent Structure Collection Area &amp; Events (NDJ)</t>
        </is>
      </c>
      <c r="B17" s="93" t="inlineStr">
        <is>
          <t>NDJ</t>
        </is>
      </c>
      <c r="C17" s="92" t="inlineStr">
        <is>
          <t>Eq. A.5</t>
        </is>
      </c>
      <c r="D17" s="93" t="inlineStr">
        <is>
          <t>events/yr</t>
        </is>
      </c>
      <c r="E17" s="85">
        <f>E11*61911*0.5*1*0.000001</f>
        <v/>
      </c>
      <c r="F17" s="85">
        <f>F11*61911*0.5*1*0.000001</f>
        <v/>
      </c>
      <c r="G17" s="85">
        <f>G11*61911*0.5*1*0.000001</f>
        <v/>
      </c>
      <c r="H17" s="85">
        <f>H11*61911*0.5*1*0.000001</f>
        <v/>
      </c>
      <c r="I17" s="85">
        <f>I11*61911*0.5*1*0.000001</f>
        <v/>
      </c>
    </row>
    <row r="18" ht="18.75" customHeight="1" s="62">
      <c r="A18" s="95" t="inlineStr">
        <is>
          <t>Annual Flashes to &amp; Near Connected Line (NL / NI per service)</t>
        </is>
      </c>
      <c r="B18" s="96" t="inlineStr">
        <is>
          <t>NL_P / NI_P</t>
        </is>
      </c>
      <c r="C18" s="95" t="inlineStr">
        <is>
          <t>Eq. A.8 / A.10</t>
        </is>
      </c>
      <c r="D18" s="96" t="inlineStr">
        <is>
          <t>events/yr</t>
        </is>
      </c>
      <c r="E18" s="77">
        <f>E11*(40*E15)*E16*0.000001</f>
        <v/>
      </c>
      <c r="F18" s="77">
        <f>F11*(40*F15)*F16*0.000001</f>
        <v/>
      </c>
      <c r="G18" s="77">
        <f>G11*(40*G15)*G16*0.000001</f>
        <v/>
      </c>
      <c r="H18" s="77">
        <f>H11*(40*H15)*H16*0.000001</f>
        <v/>
      </c>
      <c r="I18" s="77">
        <f>I11*(40*I15)*I16*0.000001</f>
        <v/>
      </c>
    </row>
    <row r="19" ht="18.75" customHeight="1" s="62">
      <c r="A19" s="92" t="inlineStr">
        <is>
          <t>Touch &amp; Step Voltage Protection Factor</t>
        </is>
      </c>
      <c r="B19" s="93" t="inlineStr">
        <is>
          <t>PTA</t>
        </is>
      </c>
      <c r="C19" s="92" t="inlineStr">
        <is>
          <t>Table B.1</t>
        </is>
      </c>
      <c r="D19" s="93" t="inlineStr">
        <is>
          <t>prob</t>
        </is>
      </c>
      <c r="E19" s="100" t="n">
        <v>1</v>
      </c>
      <c r="F19" s="100" t="n">
        <v>1</v>
      </c>
      <c r="G19" s="100" t="n">
        <v>1</v>
      </c>
      <c r="H19" s="100" t="n">
        <v>1</v>
      </c>
      <c r="I19" s="100" t="n">
        <v>1</v>
      </c>
    </row>
    <row r="20" ht="18.75" customHeight="1" s="62">
      <c r="A20" s="95" t="inlineStr">
        <is>
          <t>Physical Damage Probability (External LPS Class)</t>
        </is>
      </c>
      <c r="B20" s="96" t="inlineStr">
        <is>
          <t>PB</t>
        </is>
      </c>
      <c r="C20" s="95" t="inlineStr">
        <is>
          <t>Table B.2</t>
        </is>
      </c>
      <c r="D20" s="96" t="inlineStr">
        <is>
          <t>prob</t>
        </is>
      </c>
      <c r="E20" s="100" t="n">
        <v>1</v>
      </c>
      <c r="F20" s="100" t="n">
        <v>0.2</v>
      </c>
      <c r="G20" s="100" t="n">
        <v>0.1</v>
      </c>
      <c r="H20" s="100" t="n">
        <v>0.05</v>
      </c>
      <c r="I20" s="100" t="n">
        <v>0.02</v>
      </c>
    </row>
    <row r="21" ht="18.75" customHeight="1" s="62">
      <c r="A21" s="92" t="inlineStr">
        <is>
          <t>Shock Probability from Direct Flash (PA = PTA × PB)</t>
        </is>
      </c>
      <c r="B21" s="93" t="inlineStr">
        <is>
          <t>PA</t>
        </is>
      </c>
      <c r="C21" s="92" t="inlineStr">
        <is>
          <t>Eq. B.1</t>
        </is>
      </c>
      <c r="D21" s="93" t="inlineStr">
        <is>
          <t>prob</t>
        </is>
      </c>
      <c r="E21" s="85">
        <f>E19*E20</f>
        <v/>
      </c>
      <c r="F21" s="85">
        <f>F19*F20</f>
        <v/>
      </c>
      <c r="G21" s="85">
        <f>G19*G20</f>
        <v/>
      </c>
      <c r="H21" s="85">
        <f>H19*H20</f>
        <v/>
      </c>
      <c r="I21" s="85">
        <f>I19*I20</f>
        <v/>
      </c>
    </row>
    <row r="22" ht="18.75" customHeight="1" s="62">
      <c r="A22" s="95" t="inlineStr">
        <is>
          <t>Coordinated SPD Protection Probability (PC = PSPD × CLD)</t>
        </is>
      </c>
      <c r="B22" s="96" t="inlineStr">
        <is>
          <t>PSPD / PC</t>
        </is>
      </c>
      <c r="C22" s="95" t="inlineStr">
        <is>
          <t>Table B.3</t>
        </is>
      </c>
      <c r="D22" s="96" t="inlineStr">
        <is>
          <t>prob</t>
        </is>
      </c>
      <c r="E22" s="100" t="n">
        <v>1</v>
      </c>
      <c r="F22" s="100" t="n">
        <v>0.05</v>
      </c>
      <c r="G22" s="100" t="n">
        <v>0.05</v>
      </c>
      <c r="H22" s="100" t="n">
        <v>0.02</v>
      </c>
      <c r="I22" s="100" t="n">
        <v>0.01</v>
      </c>
    </row>
    <row r="23" ht="18.75" customHeight="1" s="62">
      <c r="A23" s="92" t="inlineStr">
        <is>
          <t>LPS Mesh Width &amp; Spatial Shielding Factor (wm)</t>
        </is>
      </c>
      <c r="B23" s="93" t="inlineStr">
        <is>
          <t>wm</t>
        </is>
      </c>
      <c r="C23" s="92" t="inlineStr">
        <is>
          <t>IEC 62305-3</t>
        </is>
      </c>
      <c r="D23" s="93" t="inlineStr">
        <is>
          <t>m</t>
        </is>
      </c>
      <c r="E23" s="94" t="n">
        <v>0</v>
      </c>
      <c r="F23" s="94" t="n">
        <v>60</v>
      </c>
      <c r="G23" s="94" t="n">
        <v>45</v>
      </c>
      <c r="H23" s="94" t="n">
        <v>30</v>
      </c>
      <c r="I23" s="94" t="n">
        <v>20</v>
      </c>
    </row>
    <row r="24" ht="18.75" customHeight="1" s="62">
      <c r="A24" s="95" t="inlineStr">
        <is>
          <t>Internal Magnetic Surge Probability (PM = PSPD × PMS)</t>
        </is>
      </c>
      <c r="B24" s="96" t="inlineStr">
        <is>
          <t>PM</t>
        </is>
      </c>
      <c r="C24" s="95" t="inlineStr">
        <is>
          <t>Eq. B.4</t>
        </is>
      </c>
      <c r="D24" s="96" t="inlineStr">
        <is>
          <t>prob</t>
        </is>
      </c>
      <c r="E24" s="101">
        <f>E22*(((IF(E23&gt;0,0.12*E23,1)*IF(E23&gt;0,0.12*E23,1)*0.0001*(1/4)))^2)</f>
        <v/>
      </c>
      <c r="F24" s="101">
        <f>F22*(((IF(F23&gt;0,0.12*F23,1)*IF(F23&gt;0,0.12*F23,1)*0.0001*(1/4)))^2)</f>
        <v/>
      </c>
      <c r="G24" s="101">
        <f>G22*(((IF(G23&gt;0,0.12*G23,1)*IF(G23&gt;0,0.12*G23,1)*0.0001*(1/4)))^2)</f>
        <v/>
      </c>
      <c r="H24" s="101">
        <f>H22*(((IF(H23&gt;0,0.12*H23,1)*IF(H23&gt;0,0.12*H23,1)*0.0001*(1/4)))^2)</f>
        <v/>
      </c>
      <c r="I24" s="101">
        <f>I22*(((IF(I23&gt;0,0.12*I23,1)*IF(I23&gt;0,0.12*I23,1)*0.0001*(1/4)))^2)</f>
        <v/>
      </c>
    </row>
    <row r="25" ht="18.75" customHeight="1" s="62">
      <c r="A25" s="92" t="inlineStr">
        <is>
          <t>Equipotential Bonding Probability at Line Entrance (PEB)</t>
        </is>
      </c>
      <c r="B25" s="93" t="inlineStr">
        <is>
          <t>PEB / PV</t>
        </is>
      </c>
      <c r="C25" s="92" t="inlineStr">
        <is>
          <t>Table B.7</t>
        </is>
      </c>
      <c r="D25" s="93" t="inlineStr">
        <is>
          <t>prob</t>
        </is>
      </c>
      <c r="E25" s="100" t="n">
        <v>0.05</v>
      </c>
      <c r="F25" s="100" t="n">
        <v>0.05</v>
      </c>
      <c r="G25" s="100" t="n">
        <v>0.05</v>
      </c>
      <c r="H25" s="100" t="n">
        <v>0.02</v>
      </c>
      <c r="I25" s="100" t="n">
        <v>0.01</v>
      </c>
    </row>
    <row r="26" ht="18.75" customHeight="1" s="62">
      <c r="A26" s="95" t="inlineStr">
        <is>
          <t>Service Line Shock Probability (PU = PTU × PEB × PLD × CLD)</t>
        </is>
      </c>
      <c r="B26" s="96" t="inlineStr">
        <is>
          <t>PU</t>
        </is>
      </c>
      <c r="C26" s="95" t="inlineStr">
        <is>
          <t>Eq. B.8</t>
        </is>
      </c>
      <c r="D26" s="96" t="inlineStr">
        <is>
          <t>prob</t>
        </is>
      </c>
      <c r="E26" s="77">
        <f>0.01*E25*1*1</f>
        <v/>
      </c>
      <c r="F26" s="77">
        <f>0.01*F25*1*1</f>
        <v/>
      </c>
      <c r="G26" s="77">
        <f>0.01*G25*1*1</f>
        <v/>
      </c>
      <c r="H26" s="77">
        <f>0.01*H25*1*1</f>
        <v/>
      </c>
      <c r="I26" s="77">
        <f>0.01*I25*1*1</f>
        <v/>
      </c>
    </row>
    <row r="27" ht="18.75" customHeight="1" s="62">
      <c r="A27" s="92" t="inlineStr">
        <is>
          <t>Induced Line Surge Failure Probability (PZ_P + PZ_T)</t>
        </is>
      </c>
      <c r="B27" s="93" t="inlineStr">
        <is>
          <t>PZ_sum</t>
        </is>
      </c>
      <c r="C27" s="92" t="inlineStr">
        <is>
          <t>Eq. B.11</t>
        </is>
      </c>
      <c r="D27" s="93" t="inlineStr">
        <is>
          <t>prob</t>
        </is>
      </c>
      <c r="E27" s="85">
        <f>E22*(0.16+0.08)*0.3</f>
        <v/>
      </c>
      <c r="F27" s="85">
        <f>F22*(0.16+0.08)*0.3</f>
        <v/>
      </c>
      <c r="G27" s="85">
        <f>G22*(0.16+0.08)*0.3</f>
        <v/>
      </c>
      <c r="H27" s="85">
        <f>H22*(0.16+0.08)*0.3</f>
        <v/>
      </c>
      <c r="I27" s="85">
        <f>I22*(0.16+0.08)*0.3</f>
        <v/>
      </c>
    </row>
    <row r="28" ht="18.75" customHeight="1" s="62">
      <c r="A28" s="95" t="inlineStr">
        <is>
          <t>Loss Factor for Touch &amp; Step Shock (LA1 = rt × LT1 × nZ/nt)</t>
        </is>
      </c>
      <c r="B28" s="96" t="inlineStr">
        <is>
          <t>LA1</t>
        </is>
      </c>
      <c r="C28" s="95" t="inlineStr">
        <is>
          <t>Eq. C.1</t>
        </is>
      </c>
      <c r="D28" s="96" t="inlineStr">
        <is>
          <t>loss</t>
        </is>
      </c>
      <c r="E28" s="102" t="n">
        <v>0.002</v>
      </c>
      <c r="F28" s="102" t="n">
        <v>0.002</v>
      </c>
      <c r="G28" s="102" t="n">
        <v>0.002</v>
      </c>
      <c r="H28" s="102" t="n">
        <v>0.002</v>
      </c>
      <c r="I28" s="102" t="n">
        <v>0.002</v>
      </c>
    </row>
    <row r="29" ht="18.75" customHeight="1" s="62">
      <c r="A29" s="92" t="inlineStr">
        <is>
          <t>Loss Factor for Physical Fire Damage (LB1 = LV1 = rp×rf×hz×LF1×nZ/nt)</t>
        </is>
      </c>
      <c r="B29" s="93" t="inlineStr">
        <is>
          <t>LB1 / LV1</t>
        </is>
      </c>
      <c r="C29" s="92" t="inlineStr">
        <is>
          <t>Eq. C.3</t>
        </is>
      </c>
      <c r="D29" s="93" t="inlineStr">
        <is>
          <t>loss</t>
        </is>
      </c>
      <c r="E29" s="102" t="n">
        <v>0.0016</v>
      </c>
      <c r="F29" s="102" t="n">
        <v>0.0016</v>
      </c>
      <c r="G29" s="102" t="n">
        <v>0.0016</v>
      </c>
      <c r="H29" s="102" t="n">
        <v>0.0016</v>
      </c>
      <c r="I29" s="102" t="n">
        <v>0.0016</v>
      </c>
    </row>
    <row r="30" ht="18.75" customHeight="1" s="62">
      <c r="A30" s="95" t="inlineStr">
        <is>
          <t>Loss Factor for Internal Systems Failure (LC1 / LC2 / LC4)</t>
        </is>
      </c>
      <c r="B30" s="96" t="inlineStr">
        <is>
          <t>LC2 (Pub)</t>
        </is>
      </c>
      <c r="C30" s="95" t="inlineStr">
        <is>
          <t>Eq. C.8</t>
        </is>
      </c>
      <c r="D30" s="96" t="inlineStr">
        <is>
          <t>loss</t>
        </is>
      </c>
      <c r="E30" s="102" t="n">
        <v>0.2</v>
      </c>
      <c r="F30" s="102" t="n">
        <v>0.2</v>
      </c>
      <c r="G30" s="102" t="n">
        <v>0.2</v>
      </c>
      <c r="H30" s="102" t="n">
        <v>0.2</v>
      </c>
      <c r="I30" s="102" t="n">
        <v>0.2</v>
      </c>
    </row>
    <row r="31" ht="18.75" customHeight="1" s="62">
      <c r="A31" s="92" t="inlineStr">
        <is>
          <t>RA: Injury due to Touch &amp; Step Voltage (Direct Strike S1)</t>
        </is>
      </c>
      <c r="B31" s="93" t="inlineStr">
        <is>
          <t>RA (×10⁻⁵)</t>
        </is>
      </c>
      <c r="C31" s="92" t="inlineStr">
        <is>
          <t>ND×PA×LA1</t>
        </is>
      </c>
      <c r="D31" s="93" t="inlineStr">
        <is>
          <t>×10⁻⁵/yr</t>
        </is>
      </c>
      <c r="E31" s="86">
        <f>E12*E21*E28*100000</f>
        <v/>
      </c>
      <c r="F31" s="86">
        <f>F12*F21*F28*100000</f>
        <v/>
      </c>
      <c r="G31" s="86">
        <f>G12*G21*G28*100000</f>
        <v/>
      </c>
      <c r="H31" s="86">
        <f>H12*H21*H28*100000</f>
        <v/>
      </c>
      <c r="I31" s="86">
        <f>I12*I21*I28*100000</f>
        <v/>
      </c>
    </row>
    <row r="32" ht="18.75" customHeight="1" s="62">
      <c r="A32" s="95" t="inlineStr">
        <is>
          <t>RB: Physical Fire Damage to Structure (Direct Strike S1)</t>
        </is>
      </c>
      <c r="B32" s="96" t="inlineStr">
        <is>
          <t>RB (×10⁻⁵)</t>
        </is>
      </c>
      <c r="C32" s="95" t="inlineStr">
        <is>
          <t>ND×PB×LB1</t>
        </is>
      </c>
      <c r="D32" s="96" t="inlineStr">
        <is>
          <t>×10⁻⁵/yr</t>
        </is>
      </c>
      <c r="E32" s="78">
        <f>E12*E20*E29*100000</f>
        <v/>
      </c>
      <c r="F32" s="78">
        <f>F12*F20*F29*100000</f>
        <v/>
      </c>
      <c r="G32" s="78">
        <f>G12*G20*G29*100000</f>
        <v/>
      </c>
      <c r="H32" s="78">
        <f>H12*H20*H29*100000</f>
        <v/>
      </c>
      <c r="I32" s="78">
        <f>I12*I20*I29*100000</f>
        <v/>
      </c>
    </row>
    <row r="33" ht="18.75" customHeight="1" s="62">
      <c r="A33" s="92" t="inlineStr">
        <is>
          <t>RC + RM: Failure of Internal Systems (S1 + S2)</t>
        </is>
      </c>
      <c r="B33" s="93" t="inlineStr">
        <is>
          <t>RC+RM (×10⁻⁵)</t>
        </is>
      </c>
      <c r="C33" s="92" t="inlineStr">
        <is>
          <t>IEC Table 2</t>
        </is>
      </c>
      <c r="D33" s="93" t="inlineStr">
        <is>
          <t>×10⁻⁵/yr</t>
        </is>
      </c>
      <c r="E33" s="86">
        <f>(E12*E22+E14*E24)*0*20*100000</f>
        <v/>
      </c>
      <c r="F33" s="86">
        <f>(F12*F22+F14*F24)*0*20*100000</f>
        <v/>
      </c>
      <c r="G33" s="86">
        <f>(G12*G22+G14*G24)*0*20*100000</f>
        <v/>
      </c>
      <c r="H33" s="86">
        <f>(H12*H22+H14*H24)*0*20*100000</f>
        <v/>
      </c>
      <c r="I33" s="86">
        <f>(I12*I22+I14*I24)*0*20*100000</f>
        <v/>
      </c>
    </row>
    <row r="34" ht="18.75" customHeight="1" s="62">
      <c r="A34" s="95" t="inlineStr">
        <is>
          <t>RU (Power + Telecom): Injury via Incoming Service Lines (S3)</t>
        </is>
      </c>
      <c r="B34" s="96" t="inlineStr">
        <is>
          <t>RU (×10⁻⁵)</t>
        </is>
      </c>
      <c r="C34" s="95" t="inlineStr">
        <is>
          <t>2×(NL+NDJ)×PU×LU1</t>
        </is>
      </c>
      <c r="D34" s="96" t="inlineStr">
        <is>
          <t>×10⁻⁵/yr</t>
        </is>
      </c>
      <c r="E34" s="78">
        <f>2*(E18+E17)*E26*(0.01*0.01)*100000</f>
        <v/>
      </c>
      <c r="F34" s="78">
        <f>2*(F18+F17)*F26*(0.01*0.01)*100000</f>
        <v/>
      </c>
      <c r="G34" s="78">
        <f>2*(G18+G17)*G26*(0.01*0.01)*100000</f>
        <v/>
      </c>
      <c r="H34" s="78">
        <f>2*(H18+H17)*H26*(0.01*0.01)*100000</f>
        <v/>
      </c>
      <c r="I34" s="78">
        <f>2*(I18+I17)*I26*(0.01*0.01)*100000</f>
        <v/>
      </c>
    </row>
    <row r="35" ht="18.75" customHeight="1" s="62">
      <c r="A35" s="92" t="inlineStr">
        <is>
          <t>RV (Power + Telecom): Physical Fire via Service Lines (S3)</t>
        </is>
      </c>
      <c r="B35" s="93" t="inlineStr">
        <is>
          <t>RV (×10⁻⁵)</t>
        </is>
      </c>
      <c r="C35" s="92" t="inlineStr">
        <is>
          <t>2×(NL+NDJ)×PV×LV1</t>
        </is>
      </c>
      <c r="D35" s="93" t="inlineStr">
        <is>
          <t>×10⁻⁵/yr</t>
        </is>
      </c>
      <c r="E35" s="86">
        <f>2*(E18+E17)*E25*E29*100000</f>
        <v/>
      </c>
      <c r="F35" s="86">
        <f>2*(F18+F17)*F25*F29*100000</f>
        <v/>
      </c>
      <c r="G35" s="86">
        <f>2*(G18+G17)*G25*G29*100000</f>
        <v/>
      </c>
      <c r="H35" s="86">
        <f>2*(H18+H17)*H25*H29*100000</f>
        <v/>
      </c>
      <c r="I35" s="86">
        <f>2*(I18+I17)*I25*I29*100000</f>
        <v/>
      </c>
    </row>
    <row r="36" ht="18.75" customHeight="1" s="62">
      <c r="A36" s="95" t="inlineStr">
        <is>
          <t>RW + RZ (Power + Telecom): Internal Failure via Lines (S3 + S4)</t>
        </is>
      </c>
      <c r="B36" s="96" t="inlineStr">
        <is>
          <t>RW+RZ (×10⁻⁵)</t>
        </is>
      </c>
      <c r="C36" s="95" t="inlineStr">
        <is>
          <t>IEC Table 2</t>
        </is>
      </c>
      <c r="D36" s="96" t="inlineStr">
        <is>
          <t>×10⁻⁵/yr</t>
        </is>
      </c>
      <c r="E36" s="78">
        <f>(2*(E18+E17)*E22 + (E18*100)*E27)*0*20*100000</f>
        <v/>
      </c>
      <c r="F36" s="78">
        <f>(2*(F18+F17)*F22 + (F18*100)*F27)*0*20*100000</f>
        <v/>
      </c>
      <c r="G36" s="78">
        <f>(2*(G18+G17)*G22 + (G18*100)*G27)*0*20*100000</f>
        <v/>
      </c>
      <c r="H36" s="78">
        <f>(2*(H18+H17)*H22 + (H18*100)*H27)*0*20*100000</f>
        <v/>
      </c>
      <c r="I36" s="78">
        <f>(2*(I18+I17)*I22 + (I18*100)*I27)*0*20*100000</f>
        <v/>
      </c>
    </row>
    <row r="37" ht="18.75" customHeight="1" s="62">
      <c r="A37" s="103" t="inlineStr">
        <is>
          <t>TOTAL RISK R1: Loss of Human Life (Limit RT1 = 1.00 × 10⁻⁵)</t>
        </is>
      </c>
      <c r="B37" s="104" t="inlineStr">
        <is>
          <t>R1 (×10⁻⁵)</t>
        </is>
      </c>
      <c r="C37" s="103" t="inlineStr">
        <is>
          <t>Sum(RA..RZ)</t>
        </is>
      </c>
      <c r="D37" s="104" t="inlineStr">
        <is>
          <t>×10⁻⁵/yr</t>
        </is>
      </c>
      <c r="E37" s="105">
        <f>SUM(E31:E36)</f>
        <v/>
      </c>
      <c r="F37" s="105">
        <f>SUM(F31:F36)</f>
        <v/>
      </c>
      <c r="G37" s="105">
        <f>SUM(G31:G36)</f>
        <v/>
      </c>
      <c r="H37" s="105">
        <f>SUM(H31:H36)</f>
        <v/>
      </c>
      <c r="I37" s="105">
        <f>SUM(I31:I36)</f>
        <v/>
      </c>
    </row>
    <row r="38" ht="18.75" customHeight="1" s="62">
      <c r="A38" s="103" t="inlineStr">
        <is>
          <t>TOTAL RISK R2: Loss of Public Service (Limit RT2 = 1.00 × 10⁻³)</t>
        </is>
      </c>
      <c r="B38" s="104" t="inlineStr">
        <is>
          <t>R2 (×10⁻³)</t>
        </is>
      </c>
      <c r="C38" s="103" t="inlineStr">
        <is>
          <t>IEC Eq. 2</t>
        </is>
      </c>
      <c r="D38" s="104" t="inlineStr">
        <is>
          <t>×10⁻³/yr</t>
        </is>
      </c>
      <c r="E38" s="105">
        <f>((E12*E20 + 2*(E18+E17)*E25)*(0.2*0.01*0.1*20) + (E12*E22 + E14*E24 + 2*(E18+E17)*E22 + (E18*100)*E27)*E30)*1000</f>
        <v/>
      </c>
      <c r="F38" s="105">
        <f>((F12*F20 + 2*(F18+F17)*F25)*(0.2*0.01*0.1*20) + (F12*F22 + F14*F24 + 2*(F18+F17)*F22 + (F18*100)*F27)*F30)*1000</f>
        <v/>
      </c>
      <c r="G38" s="105">
        <f>((G12*G20 + 2*(G18+G17)*G25)*(0.2*0.01*0.1*20) + (G12*G22 + G14*G24 + 2*(G18+G17)*G22 + (G18*100)*G27)*G30)*1000</f>
        <v/>
      </c>
      <c r="H38" s="105">
        <f>((H12*H20 + 2*(H18+H17)*H25)*(0.2*0.01*0.1*20) + (H12*H22 + H14*H24 + 2*(H18+H17)*H22 + (H18*100)*H27)*H30)*1000</f>
        <v/>
      </c>
      <c r="I38" s="105">
        <f>((I12*I20 + 2*(I18+I17)*I25)*(0.2*0.01*0.1*20) + (I12*I22 + I14*I24 + 2*(I18+I17)*I22 + (I18*100)*I27)*I30)*1000</f>
        <v/>
      </c>
    </row>
    <row r="39" ht="18.75" customHeight="1" s="62">
      <c r="A39" s="103" t="inlineStr">
        <is>
          <t>TOTAL RISK R4: Economic Value Loss (Limit RT4 = 1.00 × 10⁻³)</t>
        </is>
      </c>
      <c r="B39" s="104" t="inlineStr">
        <is>
          <t>R4 (×10⁻³)</t>
        </is>
      </c>
      <c r="C39" s="103" t="inlineStr">
        <is>
          <t>IEC Eq. 4</t>
        </is>
      </c>
      <c r="D39" s="104" t="inlineStr">
        <is>
          <t>×10⁻³/yr</t>
        </is>
      </c>
      <c r="E39" s="105">
        <f>((E12*E20 + 2*(E18+E17)*E25)*(0.2*0.01*0.1) + (E12*E22 + E14*E24 + 2*(E18+E17)*E22 + (E18*100)*E27)*(0.0001*0.15))*1000</f>
        <v/>
      </c>
      <c r="F39" s="105">
        <f>((F12*F20 + 2*(F18+F17)*F25)*(0.2*0.01*0.1) + (F12*F22 + F14*F24 + 2*(F18+F17)*F22 + (F18*100)*F27)*(0.0001*0.15))*1000</f>
        <v/>
      </c>
      <c r="G39" s="105">
        <f>((G12*G20 + 2*(G18+G17)*G25)*(0.2*0.01*0.1) + (G12*G22 + G14*G24 + 2*(G18+G17)*G22 + (G18*100)*G27)*(0.0001*0.15))*1000</f>
        <v/>
      </c>
      <c r="H39" s="105">
        <f>((H12*H20 + 2*(H18+H17)*H25)*(0.2*0.01*0.1) + (H12*H22 + H14*H24 + 2*(H18+H17)*H22 + (H18*100)*H27)*(0.0001*0.15))*1000</f>
        <v/>
      </c>
      <c r="I39" s="105">
        <f>((I12*I20 + 2*(I18+I17)*I25)*(0.2*0.01*0.1) + (I12*I22 + I14*I24 + 2*(I18+I17)*I22 + (I18*100)*I27)*(0.0001*0.15))*1000</f>
        <v/>
      </c>
    </row>
    <row r="40" ht="21.75" customHeight="1" s="62">
      <c r="A40" s="106" t="inlineStr">
        <is>
          <t>Statutory Compliance Verdict (R1 ≤ 1.00e-5 AND R2 ≤ 1.00e-3)</t>
        </is>
      </c>
      <c r="B40" s="107" t="inlineStr">
        <is>
          <t>Verdict</t>
        </is>
      </c>
      <c r="C40" s="106" t="inlineStr">
        <is>
          <t>IEC 62305-2 Sec 5.3</t>
        </is>
      </c>
      <c r="D40" s="107" t="inlineStr">
        <is>
          <t>PASS / FAIL</t>
        </is>
      </c>
      <c r="E40" s="108">
        <f>IF(AND(E37&lt;=1,E38&lt;=1),"PASS","FAIL")</f>
        <v/>
      </c>
      <c r="F40" s="108">
        <f>IF(AND(F37&lt;=1,F38&lt;=1),"PASS","FAIL")</f>
        <v/>
      </c>
      <c r="G40" s="108">
        <f>IF(AND(G37&lt;=1,G38&lt;=1),"PASS","FAIL")</f>
        <v/>
      </c>
      <c r="H40" s="108">
        <f>IF(AND(H37&lt;=1,H38&lt;=1),"PASS","FAIL")</f>
        <v/>
      </c>
      <c r="I40" s="109">
        <f>IF(AND(I37&lt;=1,I38&lt;=1),"PASS","FAIL")</f>
        <v/>
      </c>
    </row>
    <row r="41" ht="18.75" customHeight="1" s="62">
      <c r="A41" s="103" t="inlineStr">
        <is>
          <t>IEC 62305-2 Ed.3 Simplified Single-Line Mode R1 (1 Line, No Adj NDJ)</t>
        </is>
      </c>
      <c r="B41" s="104" t="inlineStr">
        <is>
          <t>R1_Ed3 (×10⁻⁵)</t>
        </is>
      </c>
      <c r="C41" s="103" t="inlineStr">
        <is>
          <t>Ed.3 Single-Line</t>
        </is>
      </c>
      <c r="D41" s="104" t="inlineStr">
        <is>
          <t>×10⁻⁵/yr</t>
        </is>
      </c>
      <c r="E41" s="105">
        <f>E31+E32+E33+((E18*E26*(0.01*0.01))+(E18*E25*E29))*100000</f>
        <v/>
      </c>
      <c r="F41" s="105">
        <f>F31+F32+F33+((F18*F26*(0.01*0.01))+(F18*F25*F29))*100000</f>
        <v/>
      </c>
      <c r="G41" s="105">
        <f>G31+G32+G33+((G18*G26*(0.01*0.01))+(G18*G25*G29))*100000</f>
        <v/>
      </c>
      <c r="H41" s="105">
        <f>H31+H32+H33+((H18*H26*(0.01*0.01))+(H18*H25*H29))*100000</f>
        <v/>
      </c>
      <c r="I41" s="105">
        <f>I31+I32+I33+((I18*I26*(0.01*0.01))+(I18*I25*I29))*100000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8" customWidth="1" style="61" min="2" max="2"/>
    <col width="23" customWidth="1" style="61" min="3" max="3"/>
    <col width="15" customWidth="1" style="61" min="4" max="4"/>
    <col width="24" customWidth="1" style="61" min="5" max="9"/>
  </cols>
  <sheetData>
    <row r="1" ht="27.75" customHeight="1" s="62">
      <c r="A1" s="63" t="inlineStr">
        <is>
          <t>IEC 62305-2 / BS EN 62305-2 LIGHTNING RISK CALCULATION SHEET — INDONESIA — GREATER JAKARTA / CIKARANG TROPICAL HYPERSCALE DC (TD=140)</t>
        </is>
      </c>
    </row>
    <row r="2" ht="19.5" customHeight="1" s="62">
      <c r="A2" s="64" t="inlineStr">
        <is>
          <t>Governing Standard: SNI 03-7015-2004 / IEC 62305-2:2010 (Kementerian ESDM / PLN) | Meteorological Authority: BMKG Indonesia (Td=140 days/yr, Ng=13.50 fl/km²/yr) | Dual-Line (Power + Telecom) &amp; Adjacent Structure Model</t>
        </is>
      </c>
    </row>
    <row r="3"/>
    <row r="4" ht="24" customHeight="1" s="62">
      <c r="A4" s="71" t="inlineStr">
        <is>
          <t>Parameter / Risk Component Description</t>
        </is>
      </c>
      <c r="B4" s="71" t="inlineStr">
        <is>
          <t>Symbol</t>
        </is>
      </c>
      <c r="C4" s="71" t="inlineStr">
        <is>
          <t>IEC Clause / Ref</t>
        </is>
      </c>
      <c r="D4" s="71" t="inlineStr">
        <is>
          <t>Unit / Mode</t>
        </is>
      </c>
      <c r="E4" s="71" t="inlineStr">
        <is>
          <t>No Protection</t>
        </is>
      </c>
      <c r="F4" s="71" t="inlineStr">
        <is>
          <t>Class IV LPS</t>
        </is>
      </c>
      <c r="G4" s="71" t="inlineStr">
        <is>
          <t>Class III LPS</t>
        </is>
      </c>
      <c r="H4" s="71" t="inlineStr">
        <is>
          <t>Class II LPS</t>
        </is>
      </c>
      <c r="I4" s="71" t="inlineStr">
        <is>
          <t>Class I LPS (Target)</t>
        </is>
      </c>
    </row>
    <row r="5" ht="18.75" customHeight="1" s="62">
      <c r="A5" s="92" t="inlineStr">
        <is>
          <t>Structure Length</t>
        </is>
      </c>
      <c r="B5" s="93" t="inlineStr">
        <is>
          <t>L</t>
        </is>
      </c>
      <c r="C5" s="92" t="inlineStr">
        <is>
          <t>Annex A.2</t>
        </is>
      </c>
      <c r="D5" s="93" t="inlineStr">
        <is>
          <t>m</t>
        </is>
      </c>
      <c r="E5" s="94" t="n">
        <v>95.59999999999999</v>
      </c>
      <c r="F5" s="94" t="n">
        <v>95.59999999999999</v>
      </c>
      <c r="G5" s="94" t="n">
        <v>95.59999999999999</v>
      </c>
      <c r="H5" s="94" t="n">
        <v>95.59999999999999</v>
      </c>
      <c r="I5" s="94" t="n">
        <v>95.59999999999999</v>
      </c>
    </row>
    <row r="6" ht="18.75" customHeight="1" s="62">
      <c r="A6" s="95" t="inlineStr">
        <is>
          <t>Structure Width</t>
        </is>
      </c>
      <c r="B6" s="96" t="inlineStr">
        <is>
          <t>W</t>
        </is>
      </c>
      <c r="C6" s="95" t="inlineStr">
        <is>
          <t>Annex A.2</t>
        </is>
      </c>
      <c r="D6" s="96" t="inlineStr">
        <is>
          <t>m</t>
        </is>
      </c>
      <c r="E6" s="94" t="n">
        <v>100.2</v>
      </c>
      <c r="F6" s="94" t="n">
        <v>100.2</v>
      </c>
      <c r="G6" s="94" t="n">
        <v>100.2</v>
      </c>
      <c r="H6" s="94" t="n">
        <v>100.2</v>
      </c>
      <c r="I6" s="94" t="n">
        <v>100.2</v>
      </c>
    </row>
    <row r="7" ht="18.75" customHeight="1" s="62">
      <c r="A7" s="92" t="inlineStr">
        <is>
          <t>Structure Max Height</t>
        </is>
      </c>
      <c r="B7" s="93" t="inlineStr">
        <is>
          <t>H</t>
        </is>
      </c>
      <c r="C7" s="92" t="inlineStr">
        <is>
          <t>Annex A.2</t>
        </is>
      </c>
      <c r="D7" s="93" t="inlineStr">
        <is>
          <t>m</t>
        </is>
      </c>
      <c r="E7" s="94" t="n">
        <v>27</v>
      </c>
      <c r="F7" s="94" t="n">
        <v>27</v>
      </c>
      <c r="G7" s="94" t="n">
        <v>27</v>
      </c>
      <c r="H7" s="94" t="n">
        <v>27</v>
      </c>
      <c r="I7" s="94" t="n">
        <v>27</v>
      </c>
    </row>
    <row r="8" ht="18.75" customHeight="1" s="62">
      <c r="A8" s="95" t="inlineStr">
        <is>
          <t>Collection Area of Structure (Graphical / Complex Roof)</t>
        </is>
      </c>
      <c r="B8" s="96" t="inlineStr">
        <is>
          <t>AD</t>
        </is>
      </c>
      <c r="C8" s="95" t="inlineStr">
        <is>
          <t>Eq. A.3 / Graphical</t>
        </is>
      </c>
      <c r="D8" s="96" t="inlineStr">
        <is>
          <t>m²</t>
        </is>
      </c>
      <c r="E8" s="110" t="n">
        <v>61911</v>
      </c>
      <c r="F8" s="110" t="n">
        <v>61911</v>
      </c>
      <c r="G8" s="110" t="n">
        <v>61911</v>
      </c>
      <c r="H8" s="110" t="n">
        <v>61911</v>
      </c>
      <c r="I8" s="110" t="n">
        <v>61911</v>
      </c>
    </row>
    <row r="9" ht="18.75" customHeight="1" s="62">
      <c r="A9" s="92" t="inlineStr">
        <is>
          <t>Location Factor of Structure</t>
        </is>
      </c>
      <c r="B9" s="93" t="inlineStr">
        <is>
          <t>CD</t>
        </is>
      </c>
      <c r="C9" s="92" t="inlineStr">
        <is>
          <t>Table A.1</t>
        </is>
      </c>
      <c r="D9" s="93" t="inlineStr">
        <is>
          <t>factor</t>
        </is>
      </c>
      <c r="E9" s="98" t="n">
        <v>0.5</v>
      </c>
      <c r="F9" s="98" t="n">
        <v>0.5</v>
      </c>
      <c r="G9" s="98" t="n">
        <v>0.5</v>
      </c>
      <c r="H9" s="98" t="n">
        <v>0.5</v>
      </c>
      <c r="I9" s="98" t="n">
        <v>0.5</v>
      </c>
    </row>
    <row r="10" ht="18.75" customHeight="1" s="62">
      <c r="A10" s="95" t="inlineStr">
        <is>
          <t>Thunderstorm Days per Year</t>
        </is>
      </c>
      <c r="B10" s="96" t="inlineStr">
        <is>
          <t>TD</t>
        </is>
      </c>
      <c r="C10" s="95" t="inlineStr">
        <is>
          <t>Meteorological</t>
        </is>
      </c>
      <c r="D10" s="96" t="inlineStr">
        <is>
          <t>days/yr</t>
        </is>
      </c>
      <c r="E10" s="94" t="n">
        <v>140</v>
      </c>
      <c r="F10" s="94" t="n">
        <v>140</v>
      </c>
      <c r="G10" s="94" t="n">
        <v>140</v>
      </c>
      <c r="H10" s="94" t="n">
        <v>140</v>
      </c>
      <c r="I10" s="94" t="n">
        <v>140</v>
      </c>
    </row>
    <row r="11" ht="18.75" customHeight="1" s="62">
      <c r="A11" s="92" t="inlineStr">
        <is>
          <t>Lightning Ground Flash Density</t>
        </is>
      </c>
      <c r="B11" s="93" t="inlineStr">
        <is>
          <t>NG</t>
        </is>
      </c>
      <c r="C11" s="92" t="inlineStr">
        <is>
          <t>Eq. A.1 / Network</t>
        </is>
      </c>
      <c r="D11" s="93" t="inlineStr">
        <is>
          <t>fl/km²/yr</t>
        </is>
      </c>
      <c r="E11" s="98" t="n">
        <v>13.5</v>
      </c>
      <c r="F11" s="98" t="n">
        <v>13.5</v>
      </c>
      <c r="G11" s="98" t="n">
        <v>13.5</v>
      </c>
      <c r="H11" s="98" t="n">
        <v>13.5</v>
      </c>
      <c r="I11" s="98" t="n">
        <v>13.5</v>
      </c>
    </row>
    <row r="12" ht="18.75" customHeight="1" s="62">
      <c r="A12" s="95" t="inlineStr">
        <is>
          <t>Annual Direct Flashes to Structure</t>
        </is>
      </c>
      <c r="B12" s="96" t="inlineStr">
        <is>
          <t>ND</t>
        </is>
      </c>
      <c r="C12" s="95" t="inlineStr">
        <is>
          <t>Eq. A.4</t>
        </is>
      </c>
      <c r="D12" s="96" t="inlineStr">
        <is>
          <t>events/yr</t>
        </is>
      </c>
      <c r="E12" s="77">
        <f>E11*E8*E9*0.000001</f>
        <v/>
      </c>
      <c r="F12" s="77">
        <f>F11*F8*F9*0.000001</f>
        <v/>
      </c>
      <c r="G12" s="77">
        <f>G11*G8*G9*0.000001</f>
        <v/>
      </c>
      <c r="H12" s="77">
        <f>H11*H8*H9*0.000001</f>
        <v/>
      </c>
      <c r="I12" s="77">
        <f>I11*I8*I9*0.000001</f>
        <v/>
      </c>
    </row>
    <row r="13" ht="18.75" customHeight="1" s="62">
      <c r="A13" s="92" t="inlineStr">
        <is>
          <t>Collection Area of Flashes Near Structure</t>
        </is>
      </c>
      <c r="B13" s="93" t="inlineStr">
        <is>
          <t>AM</t>
        </is>
      </c>
      <c r="C13" s="92" t="inlineStr">
        <is>
          <t>Eq. A.7</t>
        </is>
      </c>
      <c r="D13" s="93" t="inlineStr">
        <is>
          <t>m²</t>
        </is>
      </c>
      <c r="E13" s="84">
        <f>2*500*(E5+E6)+(PI()*500*500)</f>
        <v/>
      </c>
      <c r="F13" s="84">
        <f>2*500*(F5+F6)+(PI()*500*500)</f>
        <v/>
      </c>
      <c r="G13" s="84">
        <f>2*500*(G5+G6)+(PI()*500*500)</f>
        <v/>
      </c>
      <c r="H13" s="84">
        <f>2*500*(H5+H6)+(PI()*500*500)</f>
        <v/>
      </c>
      <c r="I13" s="84">
        <f>2*500*(I5+I6)+(PI()*500*500)</f>
        <v/>
      </c>
    </row>
    <row r="14" ht="18.75" customHeight="1" s="62">
      <c r="A14" s="95" t="inlineStr">
        <is>
          <t>Annual Flashes Near Structure</t>
        </is>
      </c>
      <c r="B14" s="96" t="inlineStr">
        <is>
          <t>NM</t>
        </is>
      </c>
      <c r="C14" s="95" t="inlineStr">
        <is>
          <t>Eq. A.6</t>
        </is>
      </c>
      <c r="D14" s="96" t="inlineStr">
        <is>
          <t>events/yr</t>
        </is>
      </c>
      <c r="E14" s="77">
        <f>E11*E13*0.000001</f>
        <v/>
      </c>
      <c r="F14" s="77">
        <f>F11*F13*0.000001</f>
        <v/>
      </c>
      <c r="G14" s="77">
        <f>G11*G13*0.000001</f>
        <v/>
      </c>
      <c r="H14" s="77">
        <f>H11*H13*0.000001</f>
        <v/>
      </c>
      <c r="I14" s="77">
        <f>I11*I13*0.000001</f>
        <v/>
      </c>
    </row>
    <row r="15" ht="18.75" customHeight="1" s="62">
      <c r="A15" s="92" t="inlineStr">
        <is>
          <t>Incoming Service Route Length (Power &amp; Telecom)</t>
        </is>
      </c>
      <c r="B15" s="93" t="inlineStr">
        <is>
          <t>LL</t>
        </is>
      </c>
      <c r="C15" s="92" t="inlineStr">
        <is>
          <t>Table A.2 / E.2</t>
        </is>
      </c>
      <c r="D15" s="93" t="inlineStr">
        <is>
          <t>m</t>
        </is>
      </c>
      <c r="E15" s="99" t="n">
        <v>500</v>
      </c>
      <c r="F15" s="99" t="n">
        <v>500</v>
      </c>
      <c r="G15" s="99" t="n">
        <v>500</v>
      </c>
      <c r="H15" s="99" t="n">
        <v>500</v>
      </c>
      <c r="I15" s="99" t="n">
        <v>500</v>
      </c>
    </row>
    <row r="16" ht="18.75" customHeight="1" s="62">
      <c r="A16" s="95" t="inlineStr">
        <is>
          <t>Line Installation &amp; Environmental Product (CI × CE × CT)</t>
        </is>
      </c>
      <c r="B16" s="96" t="inlineStr">
        <is>
          <t>CI·CE·CT</t>
        </is>
      </c>
      <c r="C16" s="95" t="inlineStr">
        <is>
          <t>Table A.2–A.4</t>
        </is>
      </c>
      <c r="D16" s="96" t="inlineStr">
        <is>
          <t>factor</t>
        </is>
      </c>
      <c r="E16" s="100" t="n">
        <v>0.01</v>
      </c>
      <c r="F16" s="100" t="n">
        <v>0.01</v>
      </c>
      <c r="G16" s="100" t="n">
        <v>0.01</v>
      </c>
      <c r="H16" s="100" t="n">
        <v>0.01</v>
      </c>
      <c r="I16" s="100" t="n">
        <v>0.01</v>
      </c>
    </row>
    <row r="17" ht="18.75" customHeight="1" s="62">
      <c r="A17" s="92" t="inlineStr">
        <is>
          <t>Adjacent Structure Collection Area &amp; Events (NDJ)</t>
        </is>
      </c>
      <c r="B17" s="93" t="inlineStr">
        <is>
          <t>NDJ</t>
        </is>
      </c>
      <c r="C17" s="92" t="inlineStr">
        <is>
          <t>Eq. A.5</t>
        </is>
      </c>
      <c r="D17" s="93" t="inlineStr">
        <is>
          <t>events/yr</t>
        </is>
      </c>
      <c r="E17" s="85">
        <f>E11*61911*0.5*0.2*0.000001</f>
        <v/>
      </c>
      <c r="F17" s="85">
        <f>F11*61911*0.5*0.2*0.000001</f>
        <v/>
      </c>
      <c r="G17" s="85">
        <f>G11*61911*0.5*0.2*0.000001</f>
        <v/>
      </c>
      <c r="H17" s="85">
        <f>H11*61911*0.5*0.2*0.000001</f>
        <v/>
      </c>
      <c r="I17" s="85">
        <f>I11*61911*0.5*0.2*0.000001</f>
        <v/>
      </c>
    </row>
    <row r="18" ht="18.75" customHeight="1" s="62">
      <c r="A18" s="95" t="inlineStr">
        <is>
          <t>Annual Flashes to &amp; Near Connected Line (NL / NI per service)</t>
        </is>
      </c>
      <c r="B18" s="96" t="inlineStr">
        <is>
          <t>NL_P / NI_P</t>
        </is>
      </c>
      <c r="C18" s="95" t="inlineStr">
        <is>
          <t>Eq. A.8 / A.10</t>
        </is>
      </c>
      <c r="D18" s="96" t="inlineStr">
        <is>
          <t>events/yr</t>
        </is>
      </c>
      <c r="E18" s="77">
        <f>E11*(40*E15)*E16*0.000001</f>
        <v/>
      </c>
      <c r="F18" s="77">
        <f>F11*(40*F15)*F16*0.000001</f>
        <v/>
      </c>
      <c r="G18" s="77">
        <f>G11*(40*G15)*G16*0.000001</f>
        <v/>
      </c>
      <c r="H18" s="77">
        <f>H11*(40*H15)*H16*0.000001</f>
        <v/>
      </c>
      <c r="I18" s="77">
        <f>I11*(40*I15)*I16*0.000001</f>
        <v/>
      </c>
    </row>
    <row r="19" ht="18.75" customHeight="1" s="62">
      <c r="A19" s="92" t="inlineStr">
        <is>
          <t>Touch &amp; Step Voltage Protection Factor</t>
        </is>
      </c>
      <c r="B19" s="93" t="inlineStr">
        <is>
          <t>PTA</t>
        </is>
      </c>
      <c r="C19" s="92" t="inlineStr">
        <is>
          <t>Table B.1</t>
        </is>
      </c>
      <c r="D19" s="93" t="inlineStr">
        <is>
          <t>prob</t>
        </is>
      </c>
      <c r="E19" s="100" t="n">
        <v>1</v>
      </c>
      <c r="F19" s="100" t="n">
        <v>0.01</v>
      </c>
      <c r="G19" s="100" t="n">
        <v>0.01</v>
      </c>
      <c r="H19" s="100" t="n">
        <v>0.01</v>
      </c>
      <c r="I19" s="100" t="n">
        <v>0.01</v>
      </c>
    </row>
    <row r="20" ht="18.75" customHeight="1" s="62">
      <c r="A20" s="95" t="inlineStr">
        <is>
          <t>Physical Damage Probability (External LPS Class)</t>
        </is>
      </c>
      <c r="B20" s="96" t="inlineStr">
        <is>
          <t>PB</t>
        </is>
      </c>
      <c r="C20" s="95" t="inlineStr">
        <is>
          <t>Table B.2</t>
        </is>
      </c>
      <c r="D20" s="96" t="inlineStr">
        <is>
          <t>prob</t>
        </is>
      </c>
      <c r="E20" s="100" t="n">
        <v>1</v>
      </c>
      <c r="F20" s="100" t="n">
        <v>0.2</v>
      </c>
      <c r="G20" s="100" t="n">
        <v>0.1</v>
      </c>
      <c r="H20" s="100" t="n">
        <v>0.05</v>
      </c>
      <c r="I20" s="100" t="n">
        <v>0.01</v>
      </c>
    </row>
    <row r="21" ht="18.75" customHeight="1" s="62">
      <c r="A21" s="92" t="inlineStr">
        <is>
          <t>Shock Probability from Direct Flash (PA = PTA × PB)</t>
        </is>
      </c>
      <c r="B21" s="93" t="inlineStr">
        <is>
          <t>PA</t>
        </is>
      </c>
      <c r="C21" s="92" t="inlineStr">
        <is>
          <t>Eq. B.1</t>
        </is>
      </c>
      <c r="D21" s="93" t="inlineStr">
        <is>
          <t>prob</t>
        </is>
      </c>
      <c r="E21" s="85">
        <f>E19*E20</f>
        <v/>
      </c>
      <c r="F21" s="85">
        <f>F19*F20</f>
        <v/>
      </c>
      <c r="G21" s="85">
        <f>G19*G20</f>
        <v/>
      </c>
      <c r="H21" s="85">
        <f>H19*H20</f>
        <v/>
      </c>
      <c r="I21" s="85">
        <f>I19*I20</f>
        <v/>
      </c>
    </row>
    <row r="22" ht="18.75" customHeight="1" s="62">
      <c r="A22" s="95" t="inlineStr">
        <is>
          <t>Coordinated SPD Protection Probability (PC = PSPD × CLD)</t>
        </is>
      </c>
      <c r="B22" s="96" t="inlineStr">
        <is>
          <t>PSPD / PC</t>
        </is>
      </c>
      <c r="C22" s="95" t="inlineStr">
        <is>
          <t>Table B.3</t>
        </is>
      </c>
      <c r="D22" s="96" t="inlineStr">
        <is>
          <t>prob</t>
        </is>
      </c>
      <c r="E22" s="100" t="n">
        <v>1</v>
      </c>
      <c r="F22" s="100" t="n">
        <v>0.05</v>
      </c>
      <c r="G22" s="100" t="n">
        <v>0.05</v>
      </c>
      <c r="H22" s="100" t="n">
        <v>0.02</v>
      </c>
      <c r="I22" s="100" t="n">
        <v>0.01</v>
      </c>
    </row>
    <row r="23" ht="18.75" customHeight="1" s="62">
      <c r="A23" s="92" t="inlineStr">
        <is>
          <t>LPS Mesh Width &amp; Spatial Shielding Factor (wm)</t>
        </is>
      </c>
      <c r="B23" s="93" t="inlineStr">
        <is>
          <t>wm</t>
        </is>
      </c>
      <c r="C23" s="92" t="inlineStr">
        <is>
          <t>IEC 62305-3</t>
        </is>
      </c>
      <c r="D23" s="93" t="inlineStr">
        <is>
          <t>m</t>
        </is>
      </c>
      <c r="E23" s="94" t="n">
        <v>0</v>
      </c>
      <c r="F23" s="94" t="n">
        <v>60</v>
      </c>
      <c r="G23" s="94" t="n">
        <v>45</v>
      </c>
      <c r="H23" s="94" t="n">
        <v>30</v>
      </c>
      <c r="I23" s="94" t="n">
        <v>20</v>
      </c>
    </row>
    <row r="24" ht="18.75" customHeight="1" s="62">
      <c r="A24" s="95" t="inlineStr">
        <is>
          <t>Internal Magnetic Surge Probability (PM = PSPD × PMS)</t>
        </is>
      </c>
      <c r="B24" s="96" t="inlineStr">
        <is>
          <t>PM</t>
        </is>
      </c>
      <c r="C24" s="95" t="inlineStr">
        <is>
          <t>Eq. B.4</t>
        </is>
      </c>
      <c r="D24" s="96" t="inlineStr">
        <is>
          <t>prob</t>
        </is>
      </c>
      <c r="E24" s="101">
        <f>E22*(((IF(E23&gt;0,0.12*E23,1)*IF(E23&gt;0,0.12*E23,1)*0.0001*(1/4)))^2)</f>
        <v/>
      </c>
      <c r="F24" s="101">
        <f>F22*(((IF(F23&gt;0,0.12*F23,1)*IF(F23&gt;0,0.12*F23,1)*0.0001*(1/4)))^2)</f>
        <v/>
      </c>
      <c r="G24" s="101">
        <f>G22*(((IF(G23&gt;0,0.12*G23,1)*IF(G23&gt;0,0.12*G23,1)*0.0001*(1/4)))^2)</f>
        <v/>
      </c>
      <c r="H24" s="101">
        <f>H22*(((IF(H23&gt;0,0.12*H23,1)*IF(H23&gt;0,0.12*H23,1)*0.0001*(1/4)))^2)</f>
        <v/>
      </c>
      <c r="I24" s="101">
        <f>I22*(((IF(I23&gt;0,0.12*I23,1)*IF(I23&gt;0,0.12*I23,1)*0.0001*(1/4)))^2)</f>
        <v/>
      </c>
    </row>
    <row r="25" ht="18.75" customHeight="1" s="62">
      <c r="A25" s="92" t="inlineStr">
        <is>
          <t>Equipotential Bonding Probability at Line Entrance (PEB)</t>
        </is>
      </c>
      <c r="B25" s="93" t="inlineStr">
        <is>
          <t>PEB / PV</t>
        </is>
      </c>
      <c r="C25" s="92" t="inlineStr">
        <is>
          <t>Table B.7</t>
        </is>
      </c>
      <c r="D25" s="93" t="inlineStr">
        <is>
          <t>prob</t>
        </is>
      </c>
      <c r="E25" s="100" t="n">
        <v>0.05</v>
      </c>
      <c r="F25" s="100" t="n">
        <v>0.05</v>
      </c>
      <c r="G25" s="100" t="n">
        <v>0.05</v>
      </c>
      <c r="H25" s="100" t="n">
        <v>0.02</v>
      </c>
      <c r="I25" s="100" t="n">
        <v>0.01</v>
      </c>
    </row>
    <row r="26" ht="18.75" customHeight="1" s="62">
      <c r="A26" s="95" t="inlineStr">
        <is>
          <t>Service Line Shock Probability (PU = PTU × PEB × PLD × CLD)</t>
        </is>
      </c>
      <c r="B26" s="96" t="inlineStr">
        <is>
          <t>PU</t>
        </is>
      </c>
      <c r="C26" s="95" t="inlineStr">
        <is>
          <t>Eq. B.8</t>
        </is>
      </c>
      <c r="D26" s="96" t="inlineStr">
        <is>
          <t>prob</t>
        </is>
      </c>
      <c r="E26" s="77">
        <f>0.01*E25*1*1</f>
        <v/>
      </c>
      <c r="F26" s="77">
        <f>0.01*F25*1*1</f>
        <v/>
      </c>
      <c r="G26" s="77">
        <f>0.01*G25*1*1</f>
        <v/>
      </c>
      <c r="H26" s="77">
        <f>0.01*H25*1*1</f>
        <v/>
      </c>
      <c r="I26" s="77">
        <f>0.01*I25*1*1</f>
        <v/>
      </c>
    </row>
    <row r="27" ht="18.75" customHeight="1" s="62">
      <c r="A27" s="92" t="inlineStr">
        <is>
          <t>Induced Line Surge Failure Probability (PZ_P + PZ_T)</t>
        </is>
      </c>
      <c r="B27" s="93" t="inlineStr">
        <is>
          <t>PZ_sum</t>
        </is>
      </c>
      <c r="C27" s="92" t="inlineStr">
        <is>
          <t>Eq. B.11</t>
        </is>
      </c>
      <c r="D27" s="93" t="inlineStr">
        <is>
          <t>prob</t>
        </is>
      </c>
      <c r="E27" s="85">
        <f>E22*(0.16+0.08)*0.3</f>
        <v/>
      </c>
      <c r="F27" s="85">
        <f>F22*(0.16+0.08)*0.3</f>
        <v/>
      </c>
      <c r="G27" s="85">
        <f>G22*(0.16+0.08)*0.3</f>
        <v/>
      </c>
      <c r="H27" s="85">
        <f>H22*(0.16+0.08)*0.3</f>
        <v/>
      </c>
      <c r="I27" s="85">
        <f>I22*(0.16+0.08)*0.3</f>
        <v/>
      </c>
    </row>
    <row r="28" ht="18.75" customHeight="1" s="62">
      <c r="A28" s="95" t="inlineStr">
        <is>
          <t>Loss Factor for Touch &amp; Step Shock (LA1 = rt × LT1 × nZ/nt)</t>
        </is>
      </c>
      <c r="B28" s="96" t="inlineStr">
        <is>
          <t>LA1</t>
        </is>
      </c>
      <c r="C28" s="95" t="inlineStr">
        <is>
          <t>Eq. C.1</t>
        </is>
      </c>
      <c r="D28" s="96" t="inlineStr">
        <is>
          <t>loss</t>
        </is>
      </c>
      <c r="E28" s="102" t="n">
        <v>1e-05</v>
      </c>
      <c r="F28" s="102" t="n">
        <v>1e-05</v>
      </c>
      <c r="G28" s="102" t="n">
        <v>1e-05</v>
      </c>
      <c r="H28" s="102" t="n">
        <v>1e-05</v>
      </c>
      <c r="I28" s="102" t="n">
        <v>1e-05</v>
      </c>
    </row>
    <row r="29" ht="18.75" customHeight="1" s="62">
      <c r="A29" s="92" t="inlineStr">
        <is>
          <t>Loss Factor for Physical Fire Damage (LB1 = LV1 = rp×rf×hz×LF1×nZ/nt)</t>
        </is>
      </c>
      <c r="B29" s="93" t="inlineStr">
        <is>
          <t>LB1 / LV1</t>
        </is>
      </c>
      <c r="C29" s="92" t="inlineStr">
        <is>
          <t>Eq. C.3</t>
        </is>
      </c>
      <c r="D29" s="93" t="inlineStr">
        <is>
          <t>loss</t>
        </is>
      </c>
      <c r="E29" s="102" t="n">
        <v>8.000000000000001e-05</v>
      </c>
      <c r="F29" s="102" t="n">
        <v>8.000000000000001e-05</v>
      </c>
      <c r="G29" s="102" t="n">
        <v>8.000000000000001e-05</v>
      </c>
      <c r="H29" s="102" t="n">
        <v>8.000000000000001e-05</v>
      </c>
      <c r="I29" s="102" t="n">
        <v>8.000000000000001e-05</v>
      </c>
    </row>
    <row r="30" ht="18.75" customHeight="1" s="62">
      <c r="A30" s="95" t="inlineStr">
        <is>
          <t>Loss Factor for Internal Systems Failure (LC1 / LC2 / LC4)</t>
        </is>
      </c>
      <c r="B30" s="96" t="inlineStr">
        <is>
          <t>LC2 (Pub)</t>
        </is>
      </c>
      <c r="C30" s="95" t="inlineStr">
        <is>
          <t>Eq. C.8</t>
        </is>
      </c>
      <c r="D30" s="96" t="inlineStr">
        <is>
          <t>loss</t>
        </is>
      </c>
      <c r="E30" s="102" t="n">
        <v>0.01</v>
      </c>
      <c r="F30" s="102" t="n">
        <v>0.01</v>
      </c>
      <c r="G30" s="102" t="n">
        <v>0.01</v>
      </c>
      <c r="H30" s="102" t="n">
        <v>0.01</v>
      </c>
      <c r="I30" s="102" t="n">
        <v>0.01</v>
      </c>
    </row>
    <row r="31" ht="18.75" customHeight="1" s="62">
      <c r="A31" s="92" t="inlineStr">
        <is>
          <t>RA: Injury due to Touch &amp; Step Voltage (Direct Strike S1)</t>
        </is>
      </c>
      <c r="B31" s="93" t="inlineStr">
        <is>
          <t>RA (×10⁻⁵)</t>
        </is>
      </c>
      <c r="C31" s="92" t="inlineStr">
        <is>
          <t>ND×PA×LA1</t>
        </is>
      </c>
      <c r="D31" s="93" t="inlineStr">
        <is>
          <t>×10⁻⁵/yr</t>
        </is>
      </c>
      <c r="E31" s="86">
        <f>E12*E21*E28*100000</f>
        <v/>
      </c>
      <c r="F31" s="86">
        <f>F12*F21*F28*100000</f>
        <v/>
      </c>
      <c r="G31" s="86">
        <f>G12*G21*G28*100000</f>
        <v/>
      </c>
      <c r="H31" s="86">
        <f>H12*H21*H28*100000</f>
        <v/>
      </c>
      <c r="I31" s="86">
        <f>I12*I21*I28*100000</f>
        <v/>
      </c>
    </row>
    <row r="32" ht="18.75" customHeight="1" s="62">
      <c r="A32" s="95" t="inlineStr">
        <is>
          <t>RB: Physical Fire Damage to Structure (Direct Strike S1)</t>
        </is>
      </c>
      <c r="B32" s="96" t="inlineStr">
        <is>
          <t>RB (×10⁻⁵)</t>
        </is>
      </c>
      <c r="C32" s="95" t="inlineStr">
        <is>
          <t>ND×PB×LB1</t>
        </is>
      </c>
      <c r="D32" s="96" t="inlineStr">
        <is>
          <t>×10⁻⁵/yr</t>
        </is>
      </c>
      <c r="E32" s="78">
        <f>E12*E20*E29*100000</f>
        <v/>
      </c>
      <c r="F32" s="78">
        <f>F12*F20*F29*100000</f>
        <v/>
      </c>
      <c r="G32" s="78">
        <f>G12*G20*G29*100000</f>
        <v/>
      </c>
      <c r="H32" s="78">
        <f>H12*H20*H29*100000</f>
        <v/>
      </c>
      <c r="I32" s="78">
        <f>I12*I20*I29*100000</f>
        <v/>
      </c>
    </row>
    <row r="33" ht="18.75" customHeight="1" s="62">
      <c r="A33" s="92" t="inlineStr">
        <is>
          <t>RC + RM: Failure of Internal Systems (S1 + S2)</t>
        </is>
      </c>
      <c r="B33" s="93" t="inlineStr">
        <is>
          <t>RC+RM (×10⁻⁵)</t>
        </is>
      </c>
      <c r="C33" s="92" t="inlineStr">
        <is>
          <t>IEC Table 2</t>
        </is>
      </c>
      <c r="D33" s="93" t="inlineStr">
        <is>
          <t>×10⁻⁵/yr</t>
        </is>
      </c>
      <c r="E33" s="86">
        <f>(E12*E22+E14*E24)*0*1*100000</f>
        <v/>
      </c>
      <c r="F33" s="86">
        <f>(F12*F22+F14*F24)*0*1*100000</f>
        <v/>
      </c>
      <c r="G33" s="86">
        <f>(G12*G22+G14*G24)*0*1*100000</f>
        <v/>
      </c>
      <c r="H33" s="86">
        <f>(H12*H22+H14*H24)*0*1*100000</f>
        <v/>
      </c>
      <c r="I33" s="86">
        <f>(I12*I22+I14*I24)*0*1*100000</f>
        <v/>
      </c>
    </row>
    <row r="34" ht="18.75" customHeight="1" s="62">
      <c r="A34" s="95" t="inlineStr">
        <is>
          <t>RU (Power + Telecom): Injury via Incoming Service Lines (S3)</t>
        </is>
      </c>
      <c r="B34" s="96" t="inlineStr">
        <is>
          <t>RU (×10⁻⁵)</t>
        </is>
      </c>
      <c r="C34" s="95" t="inlineStr">
        <is>
          <t>2×(NL+NDJ)×PU×LU1</t>
        </is>
      </c>
      <c r="D34" s="96" t="inlineStr">
        <is>
          <t>×10⁻⁵/yr</t>
        </is>
      </c>
      <c r="E34" s="78">
        <f>2*(E18+E17)*E26*(0.001*0.01)*100000</f>
        <v/>
      </c>
      <c r="F34" s="78">
        <f>2*(F18+F17)*F26*(0.001*0.01)*100000</f>
        <v/>
      </c>
      <c r="G34" s="78">
        <f>2*(G18+G17)*G26*(0.001*0.01)*100000</f>
        <v/>
      </c>
      <c r="H34" s="78">
        <f>2*(H18+H17)*H26*(0.001*0.01)*100000</f>
        <v/>
      </c>
      <c r="I34" s="78">
        <f>2*(I18+I17)*I26*(0.001*0.01)*100000</f>
        <v/>
      </c>
    </row>
    <row r="35" ht="18.75" customHeight="1" s="62">
      <c r="A35" s="92" t="inlineStr">
        <is>
          <t>RV (Power + Telecom): Physical Fire via Service Lines (S3)</t>
        </is>
      </c>
      <c r="B35" s="93" t="inlineStr">
        <is>
          <t>RV (×10⁻⁵)</t>
        </is>
      </c>
      <c r="C35" s="92" t="inlineStr">
        <is>
          <t>2×(NL+NDJ)×PV×LV1</t>
        </is>
      </c>
      <c r="D35" s="93" t="inlineStr">
        <is>
          <t>×10⁻⁵/yr</t>
        </is>
      </c>
      <c r="E35" s="86">
        <f>2*(E18+E17)*E25*E29*100000</f>
        <v/>
      </c>
      <c r="F35" s="86">
        <f>2*(F18+F17)*F25*F29*100000</f>
        <v/>
      </c>
      <c r="G35" s="86">
        <f>2*(G18+G17)*G25*G29*100000</f>
        <v/>
      </c>
      <c r="H35" s="86">
        <f>2*(H18+H17)*H25*H29*100000</f>
        <v/>
      </c>
      <c r="I35" s="86">
        <f>2*(I18+I17)*I25*I29*100000</f>
        <v/>
      </c>
    </row>
    <row r="36" ht="18.75" customHeight="1" s="62">
      <c r="A36" s="95" t="inlineStr">
        <is>
          <t>RW + RZ (Power + Telecom): Internal Failure via Lines (S3 + S4)</t>
        </is>
      </c>
      <c r="B36" s="96" t="inlineStr">
        <is>
          <t>RW+RZ (×10⁻⁵)</t>
        </is>
      </c>
      <c r="C36" s="95" t="inlineStr">
        <is>
          <t>IEC Table 2</t>
        </is>
      </c>
      <c r="D36" s="96" t="inlineStr">
        <is>
          <t>×10⁻⁵/yr</t>
        </is>
      </c>
      <c r="E36" s="78">
        <f>(2*(E18+E17)*E22 + (E18*100)*E27)*0*1*100000</f>
        <v/>
      </c>
      <c r="F36" s="78">
        <f>(2*(F18+F17)*F22 + (F18*100)*F27)*0*1*100000</f>
        <v/>
      </c>
      <c r="G36" s="78">
        <f>(2*(G18+G17)*G22 + (G18*100)*G27)*0*1*100000</f>
        <v/>
      </c>
      <c r="H36" s="78">
        <f>(2*(H18+H17)*H22 + (H18*100)*H27)*0*1*100000</f>
        <v/>
      </c>
      <c r="I36" s="78">
        <f>(2*(I18+I17)*I22 + (I18*100)*I27)*0*1*100000</f>
        <v/>
      </c>
    </row>
    <row r="37" ht="18.75" customHeight="1" s="62">
      <c r="A37" s="103" t="inlineStr">
        <is>
          <t>TOTAL RISK R1: Loss of Human Life (Limit RT1 = 1.00 × 10⁻⁵)</t>
        </is>
      </c>
      <c r="B37" s="104" t="inlineStr">
        <is>
          <t>R1 (×10⁻⁵)</t>
        </is>
      </c>
      <c r="C37" s="103" t="inlineStr">
        <is>
          <t>Sum(RA..RZ)</t>
        </is>
      </c>
      <c r="D37" s="104" t="inlineStr">
        <is>
          <t>×10⁻⁵/yr</t>
        </is>
      </c>
      <c r="E37" s="105">
        <f>SUM(E31:E36)</f>
        <v/>
      </c>
      <c r="F37" s="105">
        <f>SUM(F31:F36)</f>
        <v/>
      </c>
      <c r="G37" s="105">
        <f>SUM(G31:G36)</f>
        <v/>
      </c>
      <c r="H37" s="105">
        <f>SUM(H31:H36)</f>
        <v/>
      </c>
      <c r="I37" s="105">
        <f>SUM(I31:I36)</f>
        <v/>
      </c>
    </row>
    <row r="38" ht="18.75" customHeight="1" s="62">
      <c r="A38" s="103" t="inlineStr">
        <is>
          <t>TOTAL RISK R2: Loss of Public Service (Limit RT2 = 1.00 × 10⁻³)</t>
        </is>
      </c>
      <c r="B38" s="104" t="inlineStr">
        <is>
          <t>R2 (×10⁻³)</t>
        </is>
      </c>
      <c r="C38" s="103" t="inlineStr">
        <is>
          <t>IEC Eq. 2</t>
        </is>
      </c>
      <c r="D38" s="104" t="inlineStr">
        <is>
          <t>×10⁻³/yr</t>
        </is>
      </c>
      <c r="E38" s="105">
        <f>((E12*E20 + 2*(E18+E17)*E25)*(0.2*0.01*0.1*1) + (E12*E22 + E14*E24 + 2*(E18+E17)*E22 + (E18*100)*E27)*E30)*1000</f>
        <v/>
      </c>
      <c r="F38" s="105">
        <f>((F12*F20 + 2*(F18+F17)*F25)*(0.2*0.01*0.1*1) + (F12*F22 + F14*F24 + 2*(F18+F17)*F22 + (F18*100)*F27)*F30)*1000</f>
        <v/>
      </c>
      <c r="G38" s="105">
        <f>((G12*G20 + 2*(G18+G17)*G25)*(0.2*0.01*0.1*1) + (G12*G22 + G14*G24 + 2*(G18+G17)*G22 + (G18*100)*G27)*G30)*1000</f>
        <v/>
      </c>
      <c r="H38" s="105">
        <f>((H12*H20 + 2*(H18+H17)*H25)*(0.2*0.01*0.1*1) + (H12*H22 + H14*H24 + 2*(H18+H17)*H22 + (H18*100)*H27)*H30)*1000</f>
        <v/>
      </c>
      <c r="I38" s="105">
        <f>((I12*I20 + 2*(I18+I17)*I25)*(0.2*0.01*0.1*1) + (I12*I22 + I14*I24 + 2*(I18+I17)*I22 + (I18*100)*I27)*I30)*1000</f>
        <v/>
      </c>
    </row>
    <row r="39" ht="18.75" customHeight="1" s="62">
      <c r="A39" s="103" t="inlineStr">
        <is>
          <t>TOTAL RISK R4: Economic Value Loss (Limit RT4 = 1.00 × 10⁻³)</t>
        </is>
      </c>
      <c r="B39" s="104" t="inlineStr">
        <is>
          <t>R4 (×10⁻³)</t>
        </is>
      </c>
      <c r="C39" s="103" t="inlineStr">
        <is>
          <t>IEC Eq. 4</t>
        </is>
      </c>
      <c r="D39" s="104" t="inlineStr">
        <is>
          <t>×10⁻³/yr</t>
        </is>
      </c>
      <c r="E39" s="105">
        <f>((E12*E20 + 2*(E18+E17)*E25)*(0.2*0.01*0.1) + (E12*E22 + E14*E24 + 2*(E18+E17)*E22 + (E18*100)*E27)*(0.0001*0.15))*1000</f>
        <v/>
      </c>
      <c r="F39" s="105">
        <f>((F12*F20 + 2*(F18+F17)*F25)*(0.2*0.01*0.1) + (F12*F22 + F14*F24 + 2*(F18+F17)*F22 + (F18*100)*F27)*(0.0001*0.15))*1000</f>
        <v/>
      </c>
      <c r="G39" s="105">
        <f>((G12*G20 + 2*(G18+G17)*G25)*(0.2*0.01*0.1) + (G12*G22 + G14*G24 + 2*(G18+G17)*G22 + (G18*100)*G27)*(0.0001*0.15))*1000</f>
        <v/>
      </c>
      <c r="H39" s="105">
        <f>((H12*H20 + 2*(H18+H17)*H25)*(0.2*0.01*0.1) + (H12*H22 + H14*H24 + 2*(H18+H17)*H22 + (H18*100)*H27)*(0.0001*0.15))*1000</f>
        <v/>
      </c>
      <c r="I39" s="105">
        <f>((I12*I20 + 2*(I18+I17)*I25)*(0.2*0.01*0.1) + (I12*I22 + I14*I24 + 2*(I18+I17)*I22 + (I18*100)*I27)*(0.0001*0.15))*1000</f>
        <v/>
      </c>
    </row>
    <row r="40" ht="21.75" customHeight="1" s="62">
      <c r="A40" s="106" t="inlineStr">
        <is>
          <t>Statutory Compliance Verdict (R1 ≤ 1.00e-5 AND R2 ≤ 1.00e-3)</t>
        </is>
      </c>
      <c r="B40" s="107" t="inlineStr">
        <is>
          <t>Verdict</t>
        </is>
      </c>
      <c r="C40" s="106" t="inlineStr">
        <is>
          <t>IEC 62305-2 Sec 5.3</t>
        </is>
      </c>
      <c r="D40" s="107" t="inlineStr">
        <is>
          <t>PASS / FAIL</t>
        </is>
      </c>
      <c r="E40" s="108">
        <f>IF(AND(E37&lt;=1,E38&lt;=1),"PASS","FAIL")</f>
        <v/>
      </c>
      <c r="F40" s="108">
        <f>IF(AND(F37&lt;=1,F38&lt;=1),"PASS","FAIL")</f>
        <v/>
      </c>
      <c r="G40" s="108">
        <f>IF(AND(G37&lt;=1,G38&lt;=1),"PASS","FAIL")</f>
        <v/>
      </c>
      <c r="H40" s="108">
        <f>IF(AND(H37&lt;=1,H38&lt;=1),"PASS","FAIL")</f>
        <v/>
      </c>
      <c r="I40" s="109">
        <f>IF(AND(I37&lt;=1,I38&lt;=1),"PASS","FAIL")</f>
        <v/>
      </c>
    </row>
    <row r="41" ht="18.75" customHeight="1" s="62">
      <c r="A41" s="103" t="inlineStr">
        <is>
          <t>IEC 62305-2 Ed.3 Simplified Single-Line Mode R1 (1 Line, No Adj NDJ)</t>
        </is>
      </c>
      <c r="B41" s="104" t="inlineStr">
        <is>
          <t>R1_Ed3 (×10⁻⁵)</t>
        </is>
      </c>
      <c r="C41" s="103" t="inlineStr">
        <is>
          <t>Ed.3 Single-Line</t>
        </is>
      </c>
      <c r="D41" s="104" t="inlineStr">
        <is>
          <t>×10⁻⁵/yr</t>
        </is>
      </c>
      <c r="E41" s="105">
        <f>E31+E32+E33+((E18*E26*(0.001*0.01))+(E18*E25*E29))*100000</f>
        <v/>
      </c>
      <c r="F41" s="105">
        <f>F31+F32+F33+((F18*F26*(0.001*0.01))+(F18*F25*F29))*100000</f>
        <v/>
      </c>
      <c r="G41" s="105">
        <f>G31+G32+G33+((G18*G26*(0.001*0.01))+(G18*G25*G29))*100000</f>
        <v/>
      </c>
      <c r="H41" s="105">
        <f>H31+H32+H33+((H18*H26*(0.001*0.01))+(H18*H25*H29))*100000</f>
        <v/>
      </c>
      <c r="I41" s="105">
        <f>I31+I32+I33+((I18*I26*(0.001*0.01))+(I18*I25*I29))*100000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1"/>
    <col width="18" customWidth="1" style="61" min="2" max="2"/>
    <col width="23" customWidth="1" style="61" min="3" max="3"/>
    <col width="15" customWidth="1" style="61" min="4" max="4"/>
    <col width="24" customWidth="1" style="61" min="5" max="9"/>
  </cols>
  <sheetData>
    <row r="1" ht="27.75" customHeight="1" s="62">
      <c r="A1" s="63" t="inlineStr">
        <is>
          <t>IEC 62305-2 / BS EN 62305-2 LIGHTNING RISK CALCULATION SHEET — MALAYSIA — JOHOR BAHRU (ISKANDAR) &amp; KL HYPERSCALE DATA CENTER (TD=165)</t>
        </is>
      </c>
    </row>
    <row r="2" ht="19.5" customHeight="1" s="62">
      <c r="A2" s="64" t="inlineStr">
        <is>
          <t>Governing Standard: MS IEC 62305 / Suruhanjaya Tenaga (Energy Commission Malaysia) | Meteorological Authority: MetMalaysia (Td=165 days/yr, Ng=14.20 fl/km²/yr) | Dual-Line (Power + Telecom) &amp; Adjacent Structure Model</t>
        </is>
      </c>
    </row>
    <row r="3"/>
    <row r="4" ht="24" customHeight="1" s="62">
      <c r="A4" s="71" t="inlineStr">
        <is>
          <t>Parameter / Risk Component Description</t>
        </is>
      </c>
      <c r="B4" s="71" t="inlineStr">
        <is>
          <t>Symbol</t>
        </is>
      </c>
      <c r="C4" s="71" t="inlineStr">
        <is>
          <t>IEC Clause / Ref</t>
        </is>
      </c>
      <c r="D4" s="71" t="inlineStr">
        <is>
          <t>Unit / Mode</t>
        </is>
      </c>
      <c r="E4" s="71" t="inlineStr">
        <is>
          <t>No Protection</t>
        </is>
      </c>
      <c r="F4" s="71" t="inlineStr">
        <is>
          <t>Class IV LPS</t>
        </is>
      </c>
      <c r="G4" s="71" t="inlineStr">
        <is>
          <t>Class III LPS</t>
        </is>
      </c>
      <c r="H4" s="71" t="inlineStr">
        <is>
          <t>Class II LPS</t>
        </is>
      </c>
      <c r="I4" s="71" t="inlineStr">
        <is>
          <t>Class I LPS (Target)</t>
        </is>
      </c>
    </row>
    <row r="5" ht="18.75" customHeight="1" s="62">
      <c r="A5" s="92" t="inlineStr">
        <is>
          <t>Structure Length</t>
        </is>
      </c>
      <c r="B5" s="93" t="inlineStr">
        <is>
          <t>L</t>
        </is>
      </c>
      <c r="C5" s="92" t="inlineStr">
        <is>
          <t>Annex A.2</t>
        </is>
      </c>
      <c r="D5" s="93" t="inlineStr">
        <is>
          <t>m</t>
        </is>
      </c>
      <c r="E5" s="94" t="n">
        <v>90</v>
      </c>
      <c r="F5" s="94" t="n">
        <v>90</v>
      </c>
      <c r="G5" s="94" t="n">
        <v>90</v>
      </c>
      <c r="H5" s="94" t="n">
        <v>90</v>
      </c>
      <c r="I5" s="94" t="n">
        <v>90</v>
      </c>
    </row>
    <row r="6" ht="18.75" customHeight="1" s="62">
      <c r="A6" s="95" t="inlineStr">
        <is>
          <t>Structure Width</t>
        </is>
      </c>
      <c r="B6" s="96" t="inlineStr">
        <is>
          <t>W</t>
        </is>
      </c>
      <c r="C6" s="95" t="inlineStr">
        <is>
          <t>Annex A.2</t>
        </is>
      </c>
      <c r="D6" s="96" t="inlineStr">
        <is>
          <t>m</t>
        </is>
      </c>
      <c r="E6" s="94" t="n">
        <v>65</v>
      </c>
      <c r="F6" s="94" t="n">
        <v>65</v>
      </c>
      <c r="G6" s="94" t="n">
        <v>65</v>
      </c>
      <c r="H6" s="94" t="n">
        <v>65</v>
      </c>
      <c r="I6" s="94" t="n">
        <v>65</v>
      </c>
    </row>
    <row r="7" ht="18.75" customHeight="1" s="62">
      <c r="A7" s="92" t="inlineStr">
        <is>
          <t>Structure Max Height</t>
        </is>
      </c>
      <c r="B7" s="93" t="inlineStr">
        <is>
          <t>H</t>
        </is>
      </c>
      <c r="C7" s="92" t="inlineStr">
        <is>
          <t>Annex A.2</t>
        </is>
      </c>
      <c r="D7" s="93" t="inlineStr">
        <is>
          <t>m</t>
        </is>
      </c>
      <c r="E7" s="94" t="n">
        <v>26</v>
      </c>
      <c r="F7" s="94" t="n">
        <v>26</v>
      </c>
      <c r="G7" s="94" t="n">
        <v>26</v>
      </c>
      <c r="H7" s="94" t="n">
        <v>26</v>
      </c>
      <c r="I7" s="94" t="n">
        <v>26</v>
      </c>
    </row>
    <row r="8" ht="18.75" customHeight="1" s="62">
      <c r="A8" s="95" t="inlineStr">
        <is>
          <t>Collection Area of Isolated Structure</t>
        </is>
      </c>
      <c r="B8" s="96" t="inlineStr">
        <is>
          <t>AD</t>
        </is>
      </c>
      <c r="C8" s="95" t="inlineStr">
        <is>
          <t>Eq. A.2</t>
        </is>
      </c>
      <c r="D8" s="96" t="inlineStr">
        <is>
          <t>m²</t>
        </is>
      </c>
      <c r="E8" s="97">
        <f>(E5*E6)+(6*E7*(E5+E6))+(PI()*9*E7*E7)</f>
        <v/>
      </c>
      <c r="F8" s="97">
        <f>(F5*F6)+(6*F7*(F5+F6))+(PI()*9*F7*F7)</f>
        <v/>
      </c>
      <c r="G8" s="97">
        <f>(G5*G6)+(6*G7*(G5+G6))+(PI()*9*G7*G7)</f>
        <v/>
      </c>
      <c r="H8" s="97">
        <f>(H5*H6)+(6*H7*(H5+H6))+(PI()*9*H7*H7)</f>
        <v/>
      </c>
      <c r="I8" s="97">
        <f>(I5*I6)+(6*I7*(I5+I6))+(PI()*9*I7*I7)</f>
        <v/>
      </c>
    </row>
    <row r="9" ht="18.75" customHeight="1" s="62">
      <c r="A9" s="92" t="inlineStr">
        <is>
          <t>Location Factor of Structure</t>
        </is>
      </c>
      <c r="B9" s="93" t="inlineStr">
        <is>
          <t>CD</t>
        </is>
      </c>
      <c r="C9" s="92" t="inlineStr">
        <is>
          <t>Table A.1</t>
        </is>
      </c>
      <c r="D9" s="93" t="inlineStr">
        <is>
          <t>factor</t>
        </is>
      </c>
      <c r="E9" s="98" t="n">
        <v>0.5</v>
      </c>
      <c r="F9" s="98" t="n">
        <v>0.5</v>
      </c>
      <c r="G9" s="98" t="n">
        <v>0.5</v>
      </c>
      <c r="H9" s="98" t="n">
        <v>0.5</v>
      </c>
      <c r="I9" s="98" t="n">
        <v>0.5</v>
      </c>
    </row>
    <row r="10" ht="18.75" customHeight="1" s="62">
      <c r="A10" s="95" t="inlineStr">
        <is>
          <t>Thunderstorm Days per Year</t>
        </is>
      </c>
      <c r="B10" s="96" t="inlineStr">
        <is>
          <t>TD</t>
        </is>
      </c>
      <c r="C10" s="95" t="inlineStr">
        <is>
          <t>Meteorological</t>
        </is>
      </c>
      <c r="D10" s="96" t="inlineStr">
        <is>
          <t>days/yr</t>
        </is>
      </c>
      <c r="E10" s="94" t="n">
        <v>165</v>
      </c>
      <c r="F10" s="94" t="n">
        <v>165</v>
      </c>
      <c r="G10" s="94" t="n">
        <v>165</v>
      </c>
      <c r="H10" s="94" t="n">
        <v>165</v>
      </c>
      <c r="I10" s="94" t="n">
        <v>165</v>
      </c>
    </row>
    <row r="11" ht="18.75" customHeight="1" s="62">
      <c r="A11" s="92" t="inlineStr">
        <is>
          <t>Lightning Ground Flash Density</t>
        </is>
      </c>
      <c r="B11" s="93" t="inlineStr">
        <is>
          <t>NG</t>
        </is>
      </c>
      <c r="C11" s="92" t="inlineStr">
        <is>
          <t>Eq. A.1 / Network</t>
        </is>
      </c>
      <c r="D11" s="93" t="inlineStr">
        <is>
          <t>fl/km²/yr</t>
        </is>
      </c>
      <c r="E11" s="98" t="n">
        <v>14.2</v>
      </c>
      <c r="F11" s="98" t="n">
        <v>14.2</v>
      </c>
      <c r="G11" s="98" t="n">
        <v>14.2</v>
      </c>
      <c r="H11" s="98" t="n">
        <v>14.2</v>
      </c>
      <c r="I11" s="98" t="n">
        <v>14.2</v>
      </c>
    </row>
    <row r="12" ht="18.75" customHeight="1" s="62">
      <c r="A12" s="95" t="inlineStr">
        <is>
          <t>Annual Direct Flashes to Structure</t>
        </is>
      </c>
      <c r="B12" s="96" t="inlineStr">
        <is>
          <t>ND</t>
        </is>
      </c>
      <c r="C12" s="95" t="inlineStr">
        <is>
          <t>Eq. A.4</t>
        </is>
      </c>
      <c r="D12" s="96" t="inlineStr">
        <is>
          <t>events/yr</t>
        </is>
      </c>
      <c r="E12" s="77">
        <f>E11*E8*E9*0.000001</f>
        <v/>
      </c>
      <c r="F12" s="77">
        <f>F11*F8*F9*0.000001</f>
        <v/>
      </c>
      <c r="G12" s="77">
        <f>G11*G8*G9*0.000001</f>
        <v/>
      </c>
      <c r="H12" s="77">
        <f>H11*H8*H9*0.000001</f>
        <v/>
      </c>
      <c r="I12" s="77">
        <f>I11*I8*I9*0.000001</f>
        <v/>
      </c>
    </row>
    <row r="13" ht="18.75" customHeight="1" s="62">
      <c r="A13" s="92" t="inlineStr">
        <is>
          <t>Collection Area of Flashes Near Structure</t>
        </is>
      </c>
      <c r="B13" s="93" t="inlineStr">
        <is>
          <t>AM</t>
        </is>
      </c>
      <c r="C13" s="92" t="inlineStr">
        <is>
          <t>Eq. A.7</t>
        </is>
      </c>
      <c r="D13" s="93" t="inlineStr">
        <is>
          <t>m²</t>
        </is>
      </c>
      <c r="E13" s="84">
        <f>2*500*(E5+E6)+(PI()*500*500)</f>
        <v/>
      </c>
      <c r="F13" s="84">
        <f>2*500*(F5+F6)+(PI()*500*500)</f>
        <v/>
      </c>
      <c r="G13" s="84">
        <f>2*500*(G5+G6)+(PI()*500*500)</f>
        <v/>
      </c>
      <c r="H13" s="84">
        <f>2*500*(H5+H6)+(PI()*500*500)</f>
        <v/>
      </c>
      <c r="I13" s="84">
        <f>2*500*(I5+I6)+(PI()*500*500)</f>
        <v/>
      </c>
    </row>
    <row r="14" ht="18.75" customHeight="1" s="62">
      <c r="A14" s="95" t="inlineStr">
        <is>
          <t>Annual Flashes Near Structure</t>
        </is>
      </c>
      <c r="B14" s="96" t="inlineStr">
        <is>
          <t>NM</t>
        </is>
      </c>
      <c r="C14" s="95" t="inlineStr">
        <is>
          <t>Eq. A.6</t>
        </is>
      </c>
      <c r="D14" s="96" t="inlineStr">
        <is>
          <t>events/yr</t>
        </is>
      </c>
      <c r="E14" s="77">
        <f>E11*E13*0.000001</f>
        <v/>
      </c>
      <c r="F14" s="77">
        <f>F11*F13*0.000001</f>
        <v/>
      </c>
      <c r="G14" s="77">
        <f>G11*G13*0.000001</f>
        <v/>
      </c>
      <c r="H14" s="77">
        <f>H11*H13*0.000001</f>
        <v/>
      </c>
      <c r="I14" s="77">
        <f>I11*I13*0.000001</f>
        <v/>
      </c>
    </row>
    <row r="15" ht="18.75" customHeight="1" s="62">
      <c r="A15" s="92" t="inlineStr">
        <is>
          <t>Incoming Service Route Length (Power &amp; Telecom)</t>
        </is>
      </c>
      <c r="B15" s="93" t="inlineStr">
        <is>
          <t>LL</t>
        </is>
      </c>
      <c r="C15" s="92" t="inlineStr">
        <is>
          <t>Table A.2 / E.2</t>
        </is>
      </c>
      <c r="D15" s="93" t="inlineStr">
        <is>
          <t>m</t>
        </is>
      </c>
      <c r="E15" s="99" t="n">
        <v>400</v>
      </c>
      <c r="F15" s="99" t="n">
        <v>400</v>
      </c>
      <c r="G15" s="99" t="n">
        <v>400</v>
      </c>
      <c r="H15" s="99" t="n">
        <v>400</v>
      </c>
      <c r="I15" s="99" t="n">
        <v>400</v>
      </c>
    </row>
    <row r="16" ht="18.75" customHeight="1" s="62">
      <c r="A16" s="95" t="inlineStr">
        <is>
          <t>Line Installation &amp; Environmental Product (CI × CE × CT)</t>
        </is>
      </c>
      <c r="B16" s="96" t="inlineStr">
        <is>
          <t>CI·CE·CT</t>
        </is>
      </c>
      <c r="C16" s="95" t="inlineStr">
        <is>
          <t>Table A.2–A.4</t>
        </is>
      </c>
      <c r="D16" s="96" t="inlineStr">
        <is>
          <t>factor</t>
        </is>
      </c>
      <c r="E16" s="100" t="n">
        <v>0.01</v>
      </c>
      <c r="F16" s="100" t="n">
        <v>0.01</v>
      </c>
      <c r="G16" s="100" t="n">
        <v>0.01</v>
      </c>
      <c r="H16" s="100" t="n">
        <v>0.01</v>
      </c>
      <c r="I16" s="100" t="n">
        <v>0.01</v>
      </c>
    </row>
    <row r="17" ht="18.75" customHeight="1" s="62">
      <c r="A17" s="92" t="inlineStr">
        <is>
          <t>Adjacent Structure Collection Area &amp; Events (NDJ)</t>
        </is>
      </c>
      <c r="B17" s="93" t="inlineStr">
        <is>
          <t>NDJ</t>
        </is>
      </c>
      <c r="C17" s="92" t="inlineStr">
        <is>
          <t>Eq. A.5</t>
        </is>
      </c>
      <c r="D17" s="93" t="inlineStr">
        <is>
          <t>events/yr</t>
        </is>
      </c>
      <c r="E17" s="85">
        <f>E11*52000*0.5*0.2*0.000001</f>
        <v/>
      </c>
      <c r="F17" s="85">
        <f>F11*52000*0.5*0.2*0.000001</f>
        <v/>
      </c>
      <c r="G17" s="85">
        <f>G11*52000*0.5*0.2*0.000001</f>
        <v/>
      </c>
      <c r="H17" s="85">
        <f>H11*52000*0.5*0.2*0.000001</f>
        <v/>
      </c>
      <c r="I17" s="85">
        <f>I11*52000*0.5*0.2*0.000001</f>
        <v/>
      </c>
    </row>
    <row r="18" ht="18.75" customHeight="1" s="62">
      <c r="A18" s="95" t="inlineStr">
        <is>
          <t>Annual Flashes to &amp; Near Connected Line (NL / NI per service)</t>
        </is>
      </c>
      <c r="B18" s="96" t="inlineStr">
        <is>
          <t>NL_P / NI_P</t>
        </is>
      </c>
      <c r="C18" s="95" t="inlineStr">
        <is>
          <t>Eq. A.8 / A.10</t>
        </is>
      </c>
      <c r="D18" s="96" t="inlineStr">
        <is>
          <t>events/yr</t>
        </is>
      </c>
      <c r="E18" s="77">
        <f>E11*(40*E15)*E16*0.000001</f>
        <v/>
      </c>
      <c r="F18" s="77">
        <f>F11*(40*F15)*F16*0.000001</f>
        <v/>
      </c>
      <c r="G18" s="77">
        <f>G11*(40*G15)*G16*0.000001</f>
        <v/>
      </c>
      <c r="H18" s="77">
        <f>H11*(40*H15)*H16*0.000001</f>
        <v/>
      </c>
      <c r="I18" s="77">
        <f>I11*(40*I15)*I16*0.000001</f>
        <v/>
      </c>
    </row>
    <row r="19" ht="18.75" customHeight="1" s="62">
      <c r="A19" s="92" t="inlineStr">
        <is>
          <t>Touch &amp; Step Voltage Protection Factor</t>
        </is>
      </c>
      <c r="B19" s="93" t="inlineStr">
        <is>
          <t>PTA</t>
        </is>
      </c>
      <c r="C19" s="92" t="inlineStr">
        <is>
          <t>Table B.1</t>
        </is>
      </c>
      <c r="D19" s="93" t="inlineStr">
        <is>
          <t>prob</t>
        </is>
      </c>
      <c r="E19" s="100" t="n">
        <v>1</v>
      </c>
      <c r="F19" s="100" t="n">
        <v>0.01</v>
      </c>
      <c r="G19" s="100" t="n">
        <v>0.01</v>
      </c>
      <c r="H19" s="100" t="n">
        <v>0.01</v>
      </c>
      <c r="I19" s="100" t="n">
        <v>0.01</v>
      </c>
    </row>
    <row r="20" ht="18.75" customHeight="1" s="62">
      <c r="A20" s="95" t="inlineStr">
        <is>
          <t>Physical Damage Probability (External LPS Class)</t>
        </is>
      </c>
      <c r="B20" s="96" t="inlineStr">
        <is>
          <t>PB</t>
        </is>
      </c>
      <c r="C20" s="95" t="inlineStr">
        <is>
          <t>Table B.2</t>
        </is>
      </c>
      <c r="D20" s="96" t="inlineStr">
        <is>
          <t>prob</t>
        </is>
      </c>
      <c r="E20" s="100" t="n">
        <v>1</v>
      </c>
      <c r="F20" s="100" t="n">
        <v>0.2</v>
      </c>
      <c r="G20" s="100" t="n">
        <v>0.1</v>
      </c>
      <c r="H20" s="100" t="n">
        <v>0.05</v>
      </c>
      <c r="I20" s="100" t="n">
        <v>0.01</v>
      </c>
    </row>
    <row r="21" ht="18.75" customHeight="1" s="62">
      <c r="A21" s="92" t="inlineStr">
        <is>
          <t>Shock Probability from Direct Flash (PA = PTA × PB)</t>
        </is>
      </c>
      <c r="B21" s="93" t="inlineStr">
        <is>
          <t>PA</t>
        </is>
      </c>
      <c r="C21" s="92" t="inlineStr">
        <is>
          <t>Eq. B.1</t>
        </is>
      </c>
      <c r="D21" s="93" t="inlineStr">
        <is>
          <t>prob</t>
        </is>
      </c>
      <c r="E21" s="85">
        <f>E19*E20</f>
        <v/>
      </c>
      <c r="F21" s="85">
        <f>F19*F20</f>
        <v/>
      </c>
      <c r="G21" s="85">
        <f>G19*G20</f>
        <v/>
      </c>
      <c r="H21" s="85">
        <f>H19*H20</f>
        <v/>
      </c>
      <c r="I21" s="85">
        <f>I19*I20</f>
        <v/>
      </c>
    </row>
    <row r="22" ht="18.75" customHeight="1" s="62">
      <c r="A22" s="95" t="inlineStr">
        <is>
          <t>Coordinated SPD Protection Probability (PC = PSPD × CLD)</t>
        </is>
      </c>
      <c r="B22" s="96" t="inlineStr">
        <is>
          <t>PSPD / PC</t>
        </is>
      </c>
      <c r="C22" s="95" t="inlineStr">
        <is>
          <t>Table B.3</t>
        </is>
      </c>
      <c r="D22" s="96" t="inlineStr">
        <is>
          <t>prob</t>
        </is>
      </c>
      <c r="E22" s="100" t="n">
        <v>1</v>
      </c>
      <c r="F22" s="100" t="n">
        <v>0.05</v>
      </c>
      <c r="G22" s="100" t="n">
        <v>0.05</v>
      </c>
      <c r="H22" s="100" t="n">
        <v>0.02</v>
      </c>
      <c r="I22" s="100" t="n">
        <v>0.01</v>
      </c>
    </row>
    <row r="23" ht="18.75" customHeight="1" s="62">
      <c r="A23" s="92" t="inlineStr">
        <is>
          <t>LPS Mesh Width &amp; Spatial Shielding Factor (wm)</t>
        </is>
      </c>
      <c r="B23" s="93" t="inlineStr">
        <is>
          <t>wm</t>
        </is>
      </c>
      <c r="C23" s="92" t="inlineStr">
        <is>
          <t>IEC 62305-3</t>
        </is>
      </c>
      <c r="D23" s="93" t="inlineStr">
        <is>
          <t>m</t>
        </is>
      </c>
      <c r="E23" s="94" t="n">
        <v>0</v>
      </c>
      <c r="F23" s="94" t="n">
        <v>60</v>
      </c>
      <c r="G23" s="94" t="n">
        <v>45</v>
      </c>
      <c r="H23" s="94" t="n">
        <v>30</v>
      </c>
      <c r="I23" s="94" t="n">
        <v>20</v>
      </c>
    </row>
    <row r="24" ht="18.75" customHeight="1" s="62">
      <c r="A24" s="95" t="inlineStr">
        <is>
          <t>Internal Magnetic Surge Probability (PM = PSPD × PMS)</t>
        </is>
      </c>
      <c r="B24" s="96" t="inlineStr">
        <is>
          <t>PM</t>
        </is>
      </c>
      <c r="C24" s="95" t="inlineStr">
        <is>
          <t>Eq. B.4</t>
        </is>
      </c>
      <c r="D24" s="96" t="inlineStr">
        <is>
          <t>prob</t>
        </is>
      </c>
      <c r="E24" s="101">
        <f>E22*(((IF(E23&gt;0,0.12*E23,1)*IF(E23&gt;0,0.12*E23,1)*0.0001*(1/4)))^2)</f>
        <v/>
      </c>
      <c r="F24" s="101">
        <f>F22*(((IF(F23&gt;0,0.12*F23,1)*IF(F23&gt;0,0.12*F23,1)*0.0001*(1/4)))^2)</f>
        <v/>
      </c>
      <c r="G24" s="101">
        <f>G22*(((IF(G23&gt;0,0.12*G23,1)*IF(G23&gt;0,0.12*G23,1)*0.0001*(1/4)))^2)</f>
        <v/>
      </c>
      <c r="H24" s="101">
        <f>H22*(((IF(H23&gt;0,0.12*H23,1)*IF(H23&gt;0,0.12*H23,1)*0.0001*(1/4)))^2)</f>
        <v/>
      </c>
      <c r="I24" s="101">
        <f>I22*(((IF(I23&gt;0,0.12*I23,1)*IF(I23&gt;0,0.12*I23,1)*0.0001*(1/4)))^2)</f>
        <v/>
      </c>
    </row>
    <row r="25" ht="18.75" customHeight="1" s="62">
      <c r="A25" s="92" t="inlineStr">
        <is>
          <t>Equipotential Bonding Probability at Line Entrance (PEB)</t>
        </is>
      </c>
      <c r="B25" s="93" t="inlineStr">
        <is>
          <t>PEB / PV</t>
        </is>
      </c>
      <c r="C25" s="92" t="inlineStr">
        <is>
          <t>Table B.7</t>
        </is>
      </c>
      <c r="D25" s="93" t="inlineStr">
        <is>
          <t>prob</t>
        </is>
      </c>
      <c r="E25" s="100" t="n">
        <v>0.05</v>
      </c>
      <c r="F25" s="100" t="n">
        <v>0.05</v>
      </c>
      <c r="G25" s="100" t="n">
        <v>0.05</v>
      </c>
      <c r="H25" s="100" t="n">
        <v>0.02</v>
      </c>
      <c r="I25" s="100" t="n">
        <v>0.01</v>
      </c>
    </row>
    <row r="26" ht="18.75" customHeight="1" s="62">
      <c r="A26" s="95" t="inlineStr">
        <is>
          <t>Service Line Shock Probability (PU = PTU × PEB × PLD × CLD)</t>
        </is>
      </c>
      <c r="B26" s="96" t="inlineStr">
        <is>
          <t>PU</t>
        </is>
      </c>
      <c r="C26" s="95" t="inlineStr">
        <is>
          <t>Eq. B.8</t>
        </is>
      </c>
      <c r="D26" s="96" t="inlineStr">
        <is>
          <t>prob</t>
        </is>
      </c>
      <c r="E26" s="77">
        <f>0.01*E25*1*1</f>
        <v/>
      </c>
      <c r="F26" s="77">
        <f>0.01*F25*1*1</f>
        <v/>
      </c>
      <c r="G26" s="77">
        <f>0.01*G25*1*1</f>
        <v/>
      </c>
      <c r="H26" s="77">
        <f>0.01*H25*1*1</f>
        <v/>
      </c>
      <c r="I26" s="77">
        <f>0.01*I25*1*1</f>
        <v/>
      </c>
    </row>
    <row r="27" ht="18.75" customHeight="1" s="62">
      <c r="A27" s="92" t="inlineStr">
        <is>
          <t>Induced Line Surge Failure Probability (PZ_P + PZ_T)</t>
        </is>
      </c>
      <c r="B27" s="93" t="inlineStr">
        <is>
          <t>PZ_sum</t>
        </is>
      </c>
      <c r="C27" s="92" t="inlineStr">
        <is>
          <t>Eq. B.11</t>
        </is>
      </c>
      <c r="D27" s="93" t="inlineStr">
        <is>
          <t>prob</t>
        </is>
      </c>
      <c r="E27" s="85">
        <f>E22*(0.16+0.08)*0.3</f>
        <v/>
      </c>
      <c r="F27" s="85">
        <f>F22*(0.16+0.08)*0.3</f>
        <v/>
      </c>
      <c r="G27" s="85">
        <f>G22*(0.16+0.08)*0.3</f>
        <v/>
      </c>
      <c r="H27" s="85">
        <f>H22*(0.16+0.08)*0.3</f>
        <v/>
      </c>
      <c r="I27" s="85">
        <f>I22*(0.16+0.08)*0.3</f>
        <v/>
      </c>
    </row>
    <row r="28" ht="18.75" customHeight="1" s="62">
      <c r="A28" s="95" t="inlineStr">
        <is>
          <t>Loss Factor for Touch &amp; Step Shock (LA1 = rt × LT1 × nZ/nt)</t>
        </is>
      </c>
      <c r="B28" s="96" t="inlineStr">
        <is>
          <t>LA1</t>
        </is>
      </c>
      <c r="C28" s="95" t="inlineStr">
        <is>
          <t>Eq. C.1</t>
        </is>
      </c>
      <c r="D28" s="96" t="inlineStr">
        <is>
          <t>loss</t>
        </is>
      </c>
      <c r="E28" s="102" t="n">
        <v>1e-05</v>
      </c>
      <c r="F28" s="102" t="n">
        <v>1e-05</v>
      </c>
      <c r="G28" s="102" t="n">
        <v>1e-05</v>
      </c>
      <c r="H28" s="102" t="n">
        <v>1e-05</v>
      </c>
      <c r="I28" s="102" t="n">
        <v>1e-05</v>
      </c>
    </row>
    <row r="29" ht="18.75" customHeight="1" s="62">
      <c r="A29" s="92" t="inlineStr">
        <is>
          <t>Loss Factor for Physical Fire Damage (LB1 = LV1 = rp×rf×hz×LF1×nZ/nt)</t>
        </is>
      </c>
      <c r="B29" s="93" t="inlineStr">
        <is>
          <t>LB1 / LV1</t>
        </is>
      </c>
      <c r="C29" s="92" t="inlineStr">
        <is>
          <t>Eq. C.3</t>
        </is>
      </c>
      <c r="D29" s="93" t="inlineStr">
        <is>
          <t>loss</t>
        </is>
      </c>
      <c r="E29" s="102" t="n">
        <v>8.000000000000001e-05</v>
      </c>
      <c r="F29" s="102" t="n">
        <v>8.000000000000001e-05</v>
      </c>
      <c r="G29" s="102" t="n">
        <v>8.000000000000001e-05</v>
      </c>
      <c r="H29" s="102" t="n">
        <v>8.000000000000001e-05</v>
      </c>
      <c r="I29" s="102" t="n">
        <v>8.000000000000001e-05</v>
      </c>
    </row>
    <row r="30" ht="18.75" customHeight="1" s="62">
      <c r="A30" s="95" t="inlineStr">
        <is>
          <t>Loss Factor for Internal Systems Failure (LC1 / LC2 / LC4)</t>
        </is>
      </c>
      <c r="B30" s="96" t="inlineStr">
        <is>
          <t>LC2 (Pub)</t>
        </is>
      </c>
      <c r="C30" s="95" t="inlineStr">
        <is>
          <t>Eq. C.8</t>
        </is>
      </c>
      <c r="D30" s="96" t="inlineStr">
        <is>
          <t>loss</t>
        </is>
      </c>
      <c r="E30" s="102" t="n">
        <v>0.01</v>
      </c>
      <c r="F30" s="102" t="n">
        <v>0.01</v>
      </c>
      <c r="G30" s="102" t="n">
        <v>0.01</v>
      </c>
      <c r="H30" s="102" t="n">
        <v>0.01</v>
      </c>
      <c r="I30" s="102" t="n">
        <v>0.01</v>
      </c>
    </row>
    <row r="31" ht="18.75" customHeight="1" s="62">
      <c r="A31" s="92" t="inlineStr">
        <is>
          <t>RA: Injury due to Touch &amp; Step Voltage (Direct Strike S1)</t>
        </is>
      </c>
      <c r="B31" s="93" t="inlineStr">
        <is>
          <t>RA (×10⁻⁵)</t>
        </is>
      </c>
      <c r="C31" s="92" t="inlineStr">
        <is>
          <t>ND×PA×LA1</t>
        </is>
      </c>
      <c r="D31" s="93" t="inlineStr">
        <is>
          <t>×10⁻⁵/yr</t>
        </is>
      </c>
      <c r="E31" s="86">
        <f>E12*E21*E28*100000</f>
        <v/>
      </c>
      <c r="F31" s="86">
        <f>F12*F21*F28*100000</f>
        <v/>
      </c>
      <c r="G31" s="86">
        <f>G12*G21*G28*100000</f>
        <v/>
      </c>
      <c r="H31" s="86">
        <f>H12*H21*H28*100000</f>
        <v/>
      </c>
      <c r="I31" s="86">
        <f>I12*I21*I28*100000</f>
        <v/>
      </c>
    </row>
    <row r="32" ht="18.75" customHeight="1" s="62">
      <c r="A32" s="95" t="inlineStr">
        <is>
          <t>RB: Physical Fire Damage to Structure (Direct Strike S1)</t>
        </is>
      </c>
      <c r="B32" s="96" t="inlineStr">
        <is>
          <t>RB (×10⁻⁵)</t>
        </is>
      </c>
      <c r="C32" s="95" t="inlineStr">
        <is>
          <t>ND×PB×LB1</t>
        </is>
      </c>
      <c r="D32" s="96" t="inlineStr">
        <is>
          <t>×10⁻⁵/yr</t>
        </is>
      </c>
      <c r="E32" s="78">
        <f>E12*E20*E29*100000</f>
        <v/>
      </c>
      <c r="F32" s="78">
        <f>F12*F20*F29*100000</f>
        <v/>
      </c>
      <c r="G32" s="78">
        <f>G12*G20*G29*100000</f>
        <v/>
      </c>
      <c r="H32" s="78">
        <f>H12*H20*H29*100000</f>
        <v/>
      </c>
      <c r="I32" s="78">
        <f>I12*I20*I29*100000</f>
        <v/>
      </c>
    </row>
    <row r="33" ht="18.75" customHeight="1" s="62">
      <c r="A33" s="92" t="inlineStr">
        <is>
          <t>RC + RM: Failure of Internal Systems (S1 + S2)</t>
        </is>
      </c>
      <c r="B33" s="93" t="inlineStr">
        <is>
          <t>RC+RM (×10⁻⁵)</t>
        </is>
      </c>
      <c r="C33" s="92" t="inlineStr">
        <is>
          <t>IEC Table 2</t>
        </is>
      </c>
      <c r="D33" s="93" t="inlineStr">
        <is>
          <t>×10⁻⁵/yr</t>
        </is>
      </c>
      <c r="E33" s="86">
        <f>(E12*E22+E14*E24)*0*1*100000</f>
        <v/>
      </c>
      <c r="F33" s="86">
        <f>(F12*F22+F14*F24)*0*1*100000</f>
        <v/>
      </c>
      <c r="G33" s="86">
        <f>(G12*G22+G14*G24)*0*1*100000</f>
        <v/>
      </c>
      <c r="H33" s="86">
        <f>(H12*H22+H14*H24)*0*1*100000</f>
        <v/>
      </c>
      <c r="I33" s="86">
        <f>(I12*I22+I14*I24)*0*1*100000</f>
        <v/>
      </c>
    </row>
    <row r="34" ht="18.75" customHeight="1" s="62">
      <c r="A34" s="95" t="inlineStr">
        <is>
          <t>RU (Power + Telecom): Injury via Incoming Service Lines (S3)</t>
        </is>
      </c>
      <c r="B34" s="96" t="inlineStr">
        <is>
          <t>RU (×10⁻⁵)</t>
        </is>
      </c>
      <c r="C34" s="95" t="inlineStr">
        <is>
          <t>2×(NL+NDJ)×PU×LU1</t>
        </is>
      </c>
      <c r="D34" s="96" t="inlineStr">
        <is>
          <t>×10⁻⁵/yr</t>
        </is>
      </c>
      <c r="E34" s="78">
        <f>2*(E18+E17)*E26*(0.001*0.01)*100000</f>
        <v/>
      </c>
      <c r="F34" s="78">
        <f>2*(F18+F17)*F26*(0.001*0.01)*100000</f>
        <v/>
      </c>
      <c r="G34" s="78">
        <f>2*(G18+G17)*G26*(0.001*0.01)*100000</f>
        <v/>
      </c>
      <c r="H34" s="78">
        <f>2*(H18+H17)*H26*(0.001*0.01)*100000</f>
        <v/>
      </c>
      <c r="I34" s="78">
        <f>2*(I18+I17)*I26*(0.001*0.01)*100000</f>
        <v/>
      </c>
    </row>
    <row r="35" ht="18.75" customHeight="1" s="62">
      <c r="A35" s="92" t="inlineStr">
        <is>
          <t>RV (Power + Telecom): Physical Fire via Service Lines (S3)</t>
        </is>
      </c>
      <c r="B35" s="93" t="inlineStr">
        <is>
          <t>RV (×10⁻⁵)</t>
        </is>
      </c>
      <c r="C35" s="92" t="inlineStr">
        <is>
          <t>2×(NL+NDJ)×PV×LV1</t>
        </is>
      </c>
      <c r="D35" s="93" t="inlineStr">
        <is>
          <t>×10⁻⁵/yr</t>
        </is>
      </c>
      <c r="E35" s="86">
        <f>2*(E18+E17)*E25*E29*100000</f>
        <v/>
      </c>
      <c r="F35" s="86">
        <f>2*(F18+F17)*F25*F29*100000</f>
        <v/>
      </c>
      <c r="G35" s="86">
        <f>2*(G18+G17)*G25*G29*100000</f>
        <v/>
      </c>
      <c r="H35" s="86">
        <f>2*(H18+H17)*H25*H29*100000</f>
        <v/>
      </c>
      <c r="I35" s="86">
        <f>2*(I18+I17)*I25*I29*100000</f>
        <v/>
      </c>
    </row>
    <row r="36" ht="18.75" customHeight="1" s="62">
      <c r="A36" s="95" t="inlineStr">
        <is>
          <t>RW + RZ (Power + Telecom): Internal Failure via Lines (S3 + S4)</t>
        </is>
      </c>
      <c r="B36" s="96" t="inlineStr">
        <is>
          <t>RW+RZ (×10⁻⁵)</t>
        </is>
      </c>
      <c r="C36" s="95" t="inlineStr">
        <is>
          <t>IEC Table 2</t>
        </is>
      </c>
      <c r="D36" s="96" t="inlineStr">
        <is>
          <t>×10⁻⁵/yr</t>
        </is>
      </c>
      <c r="E36" s="78">
        <f>(2*(E18+E17)*E22 + (E18*100)*E27)*0*1*100000</f>
        <v/>
      </c>
      <c r="F36" s="78">
        <f>(2*(F18+F17)*F22 + (F18*100)*F27)*0*1*100000</f>
        <v/>
      </c>
      <c r="G36" s="78">
        <f>(2*(G18+G17)*G22 + (G18*100)*G27)*0*1*100000</f>
        <v/>
      </c>
      <c r="H36" s="78">
        <f>(2*(H18+H17)*H22 + (H18*100)*H27)*0*1*100000</f>
        <v/>
      </c>
      <c r="I36" s="78">
        <f>(2*(I18+I17)*I22 + (I18*100)*I27)*0*1*100000</f>
        <v/>
      </c>
    </row>
    <row r="37" ht="18.75" customHeight="1" s="62">
      <c r="A37" s="103" t="inlineStr">
        <is>
          <t>TOTAL RISK R1: Loss of Human Life (Limit RT1 = 1.00 × 10⁻⁵)</t>
        </is>
      </c>
      <c r="B37" s="104" t="inlineStr">
        <is>
          <t>R1 (×10⁻⁵)</t>
        </is>
      </c>
      <c r="C37" s="103" t="inlineStr">
        <is>
          <t>Sum(RA..RZ)</t>
        </is>
      </c>
      <c r="D37" s="104" t="inlineStr">
        <is>
          <t>×10⁻⁵/yr</t>
        </is>
      </c>
      <c r="E37" s="105">
        <f>SUM(E31:E36)</f>
        <v/>
      </c>
      <c r="F37" s="105">
        <f>SUM(F31:F36)</f>
        <v/>
      </c>
      <c r="G37" s="105">
        <f>SUM(G31:G36)</f>
        <v/>
      </c>
      <c r="H37" s="105">
        <f>SUM(H31:H36)</f>
        <v/>
      </c>
      <c r="I37" s="105">
        <f>SUM(I31:I36)</f>
        <v/>
      </c>
    </row>
    <row r="38" ht="18.75" customHeight="1" s="62">
      <c r="A38" s="103" t="inlineStr">
        <is>
          <t>TOTAL RISK R2: Loss of Public Service (Limit RT2 = 1.00 × 10⁻³)</t>
        </is>
      </c>
      <c r="B38" s="104" t="inlineStr">
        <is>
          <t>R2 (×10⁻³)</t>
        </is>
      </c>
      <c r="C38" s="103" t="inlineStr">
        <is>
          <t>IEC Eq. 2</t>
        </is>
      </c>
      <c r="D38" s="104" t="inlineStr">
        <is>
          <t>×10⁻³/yr</t>
        </is>
      </c>
      <c r="E38" s="105">
        <f>((E12*E20 + 2*(E18+E17)*E25)*(0.2*0.01*0.1*1) + (E12*E22 + E14*E24 + 2*(E18+E17)*E22 + (E18*100)*E27)*E30)*1000</f>
        <v/>
      </c>
      <c r="F38" s="105">
        <f>((F12*F20 + 2*(F18+F17)*F25)*(0.2*0.01*0.1*1) + (F12*F22 + F14*F24 + 2*(F18+F17)*F22 + (F18*100)*F27)*F30)*1000</f>
        <v/>
      </c>
      <c r="G38" s="105">
        <f>((G12*G20 + 2*(G18+G17)*G25)*(0.2*0.01*0.1*1) + (G12*G22 + G14*G24 + 2*(G18+G17)*G22 + (G18*100)*G27)*G30)*1000</f>
        <v/>
      </c>
      <c r="H38" s="105">
        <f>((H12*H20 + 2*(H18+H17)*H25)*(0.2*0.01*0.1*1) + (H12*H22 + H14*H24 + 2*(H18+H17)*H22 + (H18*100)*H27)*H30)*1000</f>
        <v/>
      </c>
      <c r="I38" s="105">
        <f>((I12*I20 + 2*(I18+I17)*I25)*(0.2*0.01*0.1*1) + (I12*I22 + I14*I24 + 2*(I18+I17)*I22 + (I18*100)*I27)*I30)*1000</f>
        <v/>
      </c>
    </row>
    <row r="39" ht="18.75" customHeight="1" s="62">
      <c r="A39" s="103" t="inlineStr">
        <is>
          <t>TOTAL RISK R4: Economic Value Loss (Limit RT4 = 1.00 × 10⁻³)</t>
        </is>
      </c>
      <c r="B39" s="104" t="inlineStr">
        <is>
          <t>R4 (×10⁻³)</t>
        </is>
      </c>
      <c r="C39" s="103" t="inlineStr">
        <is>
          <t>IEC Eq. 4</t>
        </is>
      </c>
      <c r="D39" s="104" t="inlineStr">
        <is>
          <t>×10⁻³/yr</t>
        </is>
      </c>
      <c r="E39" s="105">
        <f>((E12*E20 + 2*(E18+E17)*E25)*(0.2*0.01*0.1) + (E12*E22 + E14*E24 + 2*(E18+E17)*E22 + (E18*100)*E27)*(0.0001*0.15))*1000</f>
        <v/>
      </c>
      <c r="F39" s="105">
        <f>((F12*F20 + 2*(F18+F17)*F25)*(0.2*0.01*0.1) + (F12*F22 + F14*F24 + 2*(F18+F17)*F22 + (F18*100)*F27)*(0.0001*0.15))*1000</f>
        <v/>
      </c>
      <c r="G39" s="105">
        <f>((G12*G20 + 2*(G18+G17)*G25)*(0.2*0.01*0.1) + (G12*G22 + G14*G24 + 2*(G18+G17)*G22 + (G18*100)*G27)*(0.0001*0.15))*1000</f>
        <v/>
      </c>
      <c r="H39" s="105">
        <f>((H12*H20 + 2*(H18+H17)*H25)*(0.2*0.01*0.1) + (H12*H22 + H14*H24 + 2*(H18+H17)*H22 + (H18*100)*H27)*(0.0001*0.15))*1000</f>
        <v/>
      </c>
      <c r="I39" s="105">
        <f>((I12*I20 + 2*(I18+I17)*I25)*(0.2*0.01*0.1) + (I12*I22 + I14*I24 + 2*(I18+I17)*I22 + (I18*100)*I27)*(0.0001*0.15))*1000</f>
        <v/>
      </c>
    </row>
    <row r="40" ht="21.75" customHeight="1" s="62">
      <c r="A40" s="106" t="inlineStr">
        <is>
          <t>Statutory Compliance Verdict (R1 ≤ 1.00e-5 AND R2 ≤ 1.00e-3)</t>
        </is>
      </c>
      <c r="B40" s="107" t="inlineStr">
        <is>
          <t>Verdict</t>
        </is>
      </c>
      <c r="C40" s="106" t="inlineStr">
        <is>
          <t>IEC 62305-2 Sec 5.3</t>
        </is>
      </c>
      <c r="D40" s="107" t="inlineStr">
        <is>
          <t>PASS / FAIL</t>
        </is>
      </c>
      <c r="E40" s="108">
        <f>IF(AND(E37&lt;=1,E38&lt;=1),"PASS","FAIL")</f>
        <v/>
      </c>
      <c r="F40" s="108">
        <f>IF(AND(F37&lt;=1,F38&lt;=1),"PASS","FAIL")</f>
        <v/>
      </c>
      <c r="G40" s="108">
        <f>IF(AND(G37&lt;=1,G38&lt;=1),"PASS","FAIL")</f>
        <v/>
      </c>
      <c r="H40" s="108">
        <f>IF(AND(H37&lt;=1,H38&lt;=1),"PASS","FAIL")</f>
        <v/>
      </c>
      <c r="I40" s="109">
        <f>IF(AND(I37&lt;=1,I38&lt;=1),"PASS","FAIL")</f>
        <v/>
      </c>
    </row>
    <row r="41" ht="18.75" customHeight="1" s="62">
      <c r="A41" s="103" t="inlineStr">
        <is>
          <t>IEC 62305-2 Ed.3 Simplified Single-Line Mode R1 (1 Line, No Adj NDJ)</t>
        </is>
      </c>
      <c r="B41" s="104" t="inlineStr">
        <is>
          <t>R1_Ed3 (×10⁻⁵)</t>
        </is>
      </c>
      <c r="C41" s="103" t="inlineStr">
        <is>
          <t>Ed.3 Single-Line</t>
        </is>
      </c>
      <c r="D41" s="104" t="inlineStr">
        <is>
          <t>×10⁻⁵/yr</t>
        </is>
      </c>
      <c r="E41" s="105">
        <f>E31+E32+E33+((E18*E26*(0.001*0.01))+(E18*E25*E29))*100000</f>
        <v/>
      </c>
      <c r="F41" s="105">
        <f>F31+F32+F33+((F18*F26*(0.001*0.01))+(F18*F25*F29))*100000</f>
        <v/>
      </c>
      <c r="G41" s="105">
        <f>G31+G32+G33+((G18*G26*(0.001*0.01))+(G18*G25*G29))*100000</f>
        <v/>
      </c>
      <c r="H41" s="105">
        <f>H31+H32+H33+((H18*H26*(0.001*0.01))+(H18*H25*H29))*100000</f>
        <v/>
      </c>
      <c r="I41" s="105">
        <f>I31+I32+I33+((I18*I26*(0.001*0.01))+(I18*I25*I29))*100000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61" min="1" max="2"/>
    <col width="39" customWidth="1" style="61" min="3" max="4"/>
    <col width="42" customWidth="1" style="61" min="5" max="6"/>
    <col width="40" customWidth="1" style="61" min="7" max="7"/>
    <col width="42" customWidth="1" style="61" min="8" max="9"/>
  </cols>
  <sheetData>
    <row r="1" ht="27.75" customHeight="1" s="62">
      <c r="A1" s="63" t="inlineStr">
        <is>
          <t>IEC 62305-3 &amp; 62305-4 PHYSICAL LPS DESIGN, ROLLING SPHERE (r), SEPARATION DISTANCE (s) &amp; SPD SCHEDULE</t>
        </is>
      </c>
    </row>
    <row r="2" ht="19.5" customHeight="1" s="62">
      <c r="A2" s="64" t="inlineStr">
        <is>
          <t>Covers Air-Termination Mesh (wm), Rolling Sphere Radius (r), Rooftop Cooling Tower Rod Protection (rp), Side-Flash Separation (s), and LPZ 0A/1/2/3 SPDs</t>
        </is>
      </c>
    </row>
    <row r="3"/>
    <row r="4" ht="24" customHeight="1" s="62">
      <c r="A4" s="71" t="inlineStr">
        <is>
          <t>Regional Facility Profile</t>
        </is>
      </c>
      <c r="B4" s="71" t="inlineStr">
        <is>
          <t>Selected LPS Class</t>
        </is>
      </c>
      <c r="C4" s="71" t="inlineStr">
        <is>
          <t>Rolling Sphere r (m)</t>
        </is>
      </c>
      <c r="D4" s="71" t="inlineStr">
        <is>
          <t>Air Mesh wm (m×m)</t>
        </is>
      </c>
      <c r="E4" s="71" t="inlineStr">
        <is>
          <t>Down-Cond. Spacing dw (m)</t>
        </is>
      </c>
      <c r="F4" s="71" t="inlineStr">
        <is>
          <t>Total Down-Conductors Ndc</t>
        </is>
      </c>
      <c r="G4" s="71" t="inlineStr">
        <is>
          <t>Rooftop Mast Protected Radius rp (m)</t>
        </is>
      </c>
      <c r="H4" s="71" t="inlineStr">
        <is>
          <t>Min Separation Distance s (m)</t>
        </is>
      </c>
      <c r="I4" s="71" t="inlineStr">
        <is>
          <t>Earthing Grid Resistance RE (Ω)</t>
        </is>
      </c>
    </row>
    <row r="5" ht="19.5" customHeight="1" s="62">
      <c r="A5" s="80" t="inlineStr">
        <is>
          <t>Hong Kong TKO Hyperscale DC</t>
        </is>
      </c>
      <c r="B5" s="92" t="inlineStr">
        <is>
          <t>Class I (LPL I)</t>
        </is>
      </c>
      <c r="C5" s="111" t="n">
        <v>20</v>
      </c>
      <c r="D5" s="93" t="inlineStr">
        <is>
          <t>5 × 5 m</t>
        </is>
      </c>
      <c r="E5" s="111" t="n">
        <v>10</v>
      </c>
      <c r="F5" s="84">
        <f>CEILING(2*(HKG_DataCenter!E5+HKG_DataCenter!E6)/E5,1)</f>
        <v/>
      </c>
      <c r="G5" s="83">
        <f>SQRT(6*(2*C5-6))-SQRT(3.5*(2*C5-3.5))</f>
        <v/>
      </c>
      <c r="H5" s="83">
        <f>(0.08/1)*0.44*(HKG_DataCenter!E7+3.5)</f>
        <v/>
      </c>
      <c r="I5" s="83">
        <f>800/(2*SQRT(4*HKG_DataCenter!E5*HKG_DataCenter!E6/PI()))</f>
        <v/>
      </c>
    </row>
    <row r="6" ht="19.5" customHeight="1" s="62">
      <c r="A6" s="80" t="inlineStr">
        <is>
          <t>Indonesia Reference Reference Baseline</t>
        </is>
      </c>
      <c r="B6" s="92" t="inlineStr">
        <is>
          <t>Class I (LPL I)</t>
        </is>
      </c>
      <c r="C6" s="111" t="n">
        <v>20</v>
      </c>
      <c r="D6" s="93" t="inlineStr">
        <is>
          <t>5 × 5 m</t>
        </is>
      </c>
      <c r="E6" s="111" t="n">
        <v>10</v>
      </c>
      <c r="F6" s="84">
        <f>CEILING(2*(IDN_Ref_Baseline!E5+IDN_Ref_Baseline!E6)/E6,1)</f>
        <v/>
      </c>
      <c r="G6" s="83">
        <f>SQRT(6*(2*C6-6))-SQRT(3.5*(2*C6-3.5))</f>
        <v/>
      </c>
      <c r="H6" s="83">
        <f>(0.08/1)*0.44*(IDN_Ref_Baseline!E7+3.5)</f>
        <v/>
      </c>
      <c r="I6" s="83">
        <f>150/(2*SQRT(4*IDN_Ref_Baseline!E5*IDN_Ref_Baseline!E6/PI()))</f>
        <v/>
      </c>
    </row>
    <row r="7" ht="19.5" customHeight="1" s="62">
      <c r="A7" s="80" t="inlineStr">
        <is>
          <t>Indonesia Cikarang Tropical DC (TD=140)</t>
        </is>
      </c>
      <c r="B7" s="92" t="inlineStr">
        <is>
          <t>Class I Enhanced (Metal Roof + Natural Down-Cond)</t>
        </is>
      </c>
      <c r="C7" s="111" t="n">
        <v>20</v>
      </c>
      <c r="D7" s="93" t="inlineStr">
        <is>
          <t>5 × 5 m</t>
        </is>
      </c>
      <c r="E7" s="111" t="n">
        <v>10</v>
      </c>
      <c r="F7" s="84">
        <f>CEILING(2*(IDN_Cikarang_Tropical!E5+IDN_Cikarang_Tropical!E6)/E7,1)</f>
        <v/>
      </c>
      <c r="G7" s="83">
        <f>SQRT(6*(2*C7-6))-SQRT(3.5*(2*C7-3.5))</f>
        <v/>
      </c>
      <c r="H7" s="83">
        <f>(0.08/1)*0.44*(IDN_Cikarang_Tropical!E7+3.5)</f>
        <v/>
      </c>
      <c r="I7" s="83">
        <f>120/(2*SQRT(4*IDN_Cikarang_Tropical!E5*IDN_Cikarang_Tropical!E6/PI()))</f>
        <v/>
      </c>
    </row>
    <row r="8" ht="19.5" customHeight="1" s="62">
      <c r="A8" s="80" t="inlineStr">
        <is>
          <t>Malaysia Johor Bahru / KL DC (TD=165)</t>
        </is>
      </c>
      <c r="B8" s="92" t="inlineStr">
        <is>
          <t>Class I Enhanced (Metal Roof + Natural Down-Cond)</t>
        </is>
      </c>
      <c r="C8" s="111" t="n">
        <v>20</v>
      </c>
      <c r="D8" s="93" t="inlineStr">
        <is>
          <t>5 × 5 m</t>
        </is>
      </c>
      <c r="E8" s="111" t="n">
        <v>10</v>
      </c>
      <c r="F8" s="84">
        <f>CEILING(2*(MYS_Johor_DataCenter!E5+MYS_Johor_DataCenter!E6)/E8,1)</f>
        <v/>
      </c>
      <c r="G8" s="83">
        <f>SQRT(6*(2*C8-6))-SQRT(3.5*(2*C8-3.5))</f>
        <v/>
      </c>
      <c r="H8" s="83">
        <f>(0.08/1)*0.44*(MYS_Johor_DataCenter!E7+3.5)</f>
        <v/>
      </c>
      <c r="I8" s="83">
        <f>150/(2*SQRT(4*MYS_Johor_DataCenter!E5*MYS_Johor_DataCenter!E6/PI()))</f>
        <v/>
      </c>
    </row>
    <row r="9"/>
    <row r="10"/>
    <row r="11" ht="15" customHeight="1" s="62">
      <c r="A11" s="70" t="inlineStr">
        <is>
          <t>IEC 62305-4 Coordinated Surge Protective Device (SPD) &amp; Adiabatic Earthing Schedule</t>
        </is>
      </c>
    </row>
    <row r="12" ht="22.5" customHeight="1" s="62">
      <c r="A12" s="87" t="inlineStr">
        <is>
          <t>LPZ Boundary</t>
        </is>
      </c>
      <c r="B12" s="87" t="inlineStr">
        <is>
          <t>Installation Location (Switchboard / Panel)</t>
        </is>
      </c>
      <c r="C12" s="87" t="inlineStr">
        <is>
          <t>SPD Type / Class (IEC 61643-11)</t>
        </is>
      </c>
      <c r="D12" s="112" t="inlineStr">
        <is>
          <t>Test Waveform</t>
        </is>
      </c>
      <c r="E12" s="112" t="inlineStr">
        <is>
          <t>Min Discharge Rating (LPL I)</t>
        </is>
      </c>
      <c r="F12" s="112" t="inlineStr">
        <is>
          <t>Voltage Protection Level Up</t>
        </is>
      </c>
      <c r="G12" s="112" t="inlineStr">
        <is>
          <t>Coordinated PSPD Factor</t>
        </is>
      </c>
      <c r="H12" s="112" t="inlineStr">
        <is>
          <t>Min Copper Bonding Cross-Section</t>
        </is>
      </c>
      <c r="I12" s="112" t="inlineStr">
        <is>
          <t>Statutory Clause Reference</t>
        </is>
      </c>
    </row>
    <row r="13" ht="19.5" customHeight="1" s="62">
      <c r="A13" s="80" t="inlineStr">
        <is>
          <t>LPZ 0A -&gt; LPZ 1</t>
        </is>
      </c>
      <c r="B13" s="92" t="inlineStr">
        <is>
          <t>LV Main Switchboard (MSB / ACB Incomer)</t>
        </is>
      </c>
      <c r="C13" s="92" t="inlineStr">
        <is>
          <t>Type 1 + Type 2 Combined SPD</t>
        </is>
      </c>
      <c r="D13" s="93" t="inlineStr">
        <is>
          <t>10/350 µs + 8/20 µs</t>
        </is>
      </c>
      <c r="E13" s="93" t="inlineStr">
        <is>
          <t>Iimp ≥ 25 kA/pole (100 kA total)</t>
        </is>
      </c>
      <c r="F13" s="93" t="inlineStr">
        <is>
          <t>Up ≤ 1.5 kV</t>
        </is>
      </c>
      <c r="G13" s="113" t="n">
        <v>0.01</v>
      </c>
      <c r="H13" s="93" t="inlineStr">
        <is>
          <t>50 mm² Cu (Main Earth Bar)</t>
        </is>
      </c>
      <c r="I13" s="92" t="inlineStr">
        <is>
          <t>IEC 62305-4 Cl. 7 / Table B.3</t>
        </is>
      </c>
    </row>
    <row r="14" ht="19.5" customHeight="1" s="62">
      <c r="A14" s="80" t="inlineStr">
        <is>
          <t>LPZ 1 -&gt; LPZ 2</t>
        </is>
      </c>
      <c r="B14" s="92" t="inlineStr">
        <is>
          <t>UPS Input/Output &amp; Data Hall PDU / SDB</t>
        </is>
      </c>
      <c r="C14" s="92" t="inlineStr">
        <is>
          <t>Type 2 Coordinated SPD</t>
        </is>
      </c>
      <c r="D14" s="93" t="inlineStr">
        <is>
          <t>8/20 µs</t>
        </is>
      </c>
      <c r="E14" s="93" t="inlineStr">
        <is>
          <t>In ≥ 20 kA, Imax ≥ 40 kA/pole</t>
        </is>
      </c>
      <c r="F14" s="93" t="inlineStr">
        <is>
          <t>Up ≤ 1.2 kV</t>
        </is>
      </c>
      <c r="G14" s="113" t="n">
        <v>0.01</v>
      </c>
      <c r="H14" s="93" t="inlineStr">
        <is>
          <t>16 mm² Cu</t>
        </is>
      </c>
      <c r="I14" s="92" t="inlineStr">
        <is>
          <t>IEC 62305-4 Cl. 7.3</t>
        </is>
      </c>
    </row>
    <row r="15" ht="19.5" customHeight="1" s="62">
      <c r="A15" s="80" t="inlineStr">
        <is>
          <t>LPZ 2 -&gt; LPZ 3</t>
        </is>
      </c>
      <c r="B15" s="92" t="inlineStr">
        <is>
          <t>Server Rack RPP / Critical BMS &amp; PLC Panel</t>
        </is>
      </c>
      <c r="C15" s="92" t="inlineStr">
        <is>
          <t>Type 2 + Type 3 Fine Hybrid SPD</t>
        </is>
      </c>
      <c r="D15" s="93" t="inlineStr">
        <is>
          <t>8/20 µs + 1.2/50 µs</t>
        </is>
      </c>
      <c r="E15" s="93" t="inlineStr">
        <is>
          <t>In ≥ 10 kA, Uoc = 6 kV</t>
        </is>
      </c>
      <c r="F15" s="93" t="inlineStr">
        <is>
          <t>Up ≤ 0.8 kV</t>
        </is>
      </c>
      <c r="G15" s="113" t="n">
        <v>0.005</v>
      </c>
      <c r="H15" s="93" t="inlineStr">
        <is>
          <t>6 mm² Cu</t>
        </is>
      </c>
      <c r="I15" s="92" t="inlineStr">
        <is>
          <t>IEC 62305-4 Annex C</t>
        </is>
      </c>
    </row>
    <row r="16" ht="19.5" customHeight="1" s="62">
      <c r="A16" s="80" t="inlineStr">
        <is>
          <t>LPZ 0A -&gt; LPZ 1 (Telecom)</t>
        </is>
      </c>
      <c r="B16" s="92" t="inlineStr">
        <is>
          <t>MDF / Fiber Metallic Armor &amp; Copper Telecom Entry</t>
        </is>
      </c>
      <c r="C16" s="92" t="inlineStr">
        <is>
          <t>Category D1 High-Energy Telecom SPD</t>
        </is>
      </c>
      <c r="D16" s="93" t="inlineStr">
        <is>
          <t>10/350 µs</t>
        </is>
      </c>
      <c r="E16" s="93" t="inlineStr">
        <is>
          <t>Iimp ≥ 2.5 kA/line</t>
        </is>
      </c>
      <c r="F16" s="93" t="inlineStr">
        <is>
          <t>Up ≤ 0.6 kV</t>
        </is>
      </c>
      <c r="G16" s="113" t="n">
        <v>0.01</v>
      </c>
      <c r="H16" s="93" t="inlineStr">
        <is>
          <t>16 mm² Cu to MET</t>
        </is>
      </c>
      <c r="I16" s="92" t="inlineStr">
        <is>
          <t>IEC 61643-21 / IEC 62305-4</t>
        </is>
      </c>
    </row>
    <row r="17"/>
    <row r="18"/>
    <row r="19" ht="15" customHeight="1" s="62">
      <c r="A19" s="70" t="inlineStr">
        <is>
          <t>IEC 62305-3 Multi-Level Rolling Sphere (r = 20/30/45/60m) Rooftop Cooling Tower Blind-Spot &amp; Separation Distance s = (ki/km)·kc·l Verification Matrix (hrod=6.0m, heq=3.5m, Weq=4.5m, dhoriz=1.5m)</t>
        </is>
      </c>
    </row>
    <row r="20" ht="24" customHeight="1" s="62">
      <c r="A20" s="71" t="inlineStr">
        <is>
          <t>LPS Class / Lightning Protection Level</t>
        </is>
      </c>
      <c r="B20" s="71" t="inlineStr">
        <is>
          <t>Rolling Sphere Radius r (m)</t>
        </is>
      </c>
      <c r="C20" s="71" t="inlineStr">
        <is>
          <t>Ground Touchdown Reach xc (m)</t>
        </is>
      </c>
      <c r="D20" s="71" t="inlineStr">
        <is>
          <t>Protected Radius rp at heq=3.5m (m)</t>
        </is>
      </c>
      <c r="E20" s="71" t="inlineStr">
        <is>
          <t>Sphere Arc Height at Equipment Far Edge x=6.0m (m)</t>
        </is>
      </c>
      <c r="F20" s="71" t="inlineStr">
        <is>
          <t>Blind-Spot Protrusion Depth Δh_blind (m)</t>
        </is>
      </c>
      <c r="G20" s="71" t="inlineStr">
        <is>
          <t>Induction Factor ki (IEC Table 10)</t>
        </is>
      </c>
      <c r="H20" s="71" t="inlineStr">
        <is>
          <t>Required Separation s = (ki/km)·kc·l (m)</t>
        </is>
      </c>
      <c r="I20" s="71" t="inlineStr">
        <is>
          <t>Blind-Spot &amp; Side-Flash Verdict (d_actual = 1.50m)</t>
        </is>
      </c>
    </row>
    <row r="21" ht="19.5" customHeight="1" s="62">
      <c r="A21" s="80" t="inlineStr">
        <is>
          <t>Class I LPS (LPL I — PB = 0.02)</t>
        </is>
      </c>
      <c r="B21" s="111" t="n">
        <v>20</v>
      </c>
      <c r="C21" s="83">
        <f>SQRT(6*(2*B21-6))</f>
        <v/>
      </c>
      <c r="D21" s="83">
        <f>C21-SQRT(3.5*(2*B21-3.5))</f>
        <v/>
      </c>
      <c r="E21" s="83">
        <f>IF(6&lt;C21, B21-SQRT(B21*B21-(C21-6)*(C21-6)), 0)</f>
        <v/>
      </c>
      <c r="F21" s="114">
        <f>MAX(0, 3.5-E21)</f>
        <v/>
      </c>
      <c r="G21" s="115" t="n">
        <v>0.08</v>
      </c>
      <c r="H21" s="83">
        <f>(G21/1)*0.44*(27+3.5)</f>
        <v/>
      </c>
      <c r="I21" s="80">
        <f>IF(AND(F21&lt;=0.001, 1.5&gt;=H21), "PASS (Zero Blind Spot &amp; Safe s)", "BLIND SPOT EXPOSED (Δh &gt; 0)")</f>
        <v/>
      </c>
    </row>
    <row r="22" ht="19.5" customHeight="1" s="62">
      <c r="A22" s="80" t="inlineStr">
        <is>
          <t>Class II LPS (LPL II — PB = 0.05)</t>
        </is>
      </c>
      <c r="B22" s="111" t="n">
        <v>30</v>
      </c>
      <c r="C22" s="83">
        <f>SQRT(6*(2*B22-6))</f>
        <v/>
      </c>
      <c r="D22" s="83">
        <f>C22-SQRT(3.5*(2*B22-3.5))</f>
        <v/>
      </c>
      <c r="E22" s="83">
        <f>IF(6&lt;C22, B22-SQRT(B22*B22-(C22-6)*(C22-6)), 0)</f>
        <v/>
      </c>
      <c r="F22" s="114">
        <f>MAX(0, 3.5-E22)</f>
        <v/>
      </c>
      <c r="G22" s="115" t="n">
        <v>0.06</v>
      </c>
      <c r="H22" s="83">
        <f>(G22/1)*0.44*(27+3.5)</f>
        <v/>
      </c>
      <c r="I22" s="80">
        <f>IF(AND(F22&lt;=0.001, 1.5&gt;=H22), "PASS (Zero Blind Spot &amp; Safe s)", "BLIND SPOT EXPOSED (Δh &gt; 0)")</f>
        <v/>
      </c>
    </row>
    <row r="23" ht="19.5" customHeight="1" s="62">
      <c r="A23" s="80" t="inlineStr">
        <is>
          <t>Class III LPS (LPL III — PB = 0.10)</t>
        </is>
      </c>
      <c r="B23" s="111" t="n">
        <v>45</v>
      </c>
      <c r="C23" s="83">
        <f>SQRT(6*(2*B23-6))</f>
        <v/>
      </c>
      <c r="D23" s="83">
        <f>C23-SQRT(3.5*(2*B23-3.5))</f>
        <v/>
      </c>
      <c r="E23" s="83">
        <f>IF(6&lt;C23, B23-SQRT(B23*B23-(C23-6)*(C23-6)), 0)</f>
        <v/>
      </c>
      <c r="F23" s="114">
        <f>MAX(0, 3.5-E23)</f>
        <v/>
      </c>
      <c r="G23" s="115" t="n">
        <v>0.04</v>
      </c>
      <c r="H23" s="83">
        <f>(G23/1)*0.44*(27+3.5)</f>
        <v/>
      </c>
      <c r="I23" s="80">
        <f>IF(AND(F23&lt;=0.001, 1.5&gt;=H23), "PASS (Zero Blind Spot &amp; Safe s)", "BLIND SPOT EXPOSED (Δh &gt; 0)")</f>
        <v/>
      </c>
    </row>
    <row r="24" ht="19.5" customHeight="1" s="62">
      <c r="A24" s="80" t="inlineStr">
        <is>
          <t>Class IV LPS (LPL IV — PB = 0.20)</t>
        </is>
      </c>
      <c r="B24" s="111" t="n">
        <v>60</v>
      </c>
      <c r="C24" s="83">
        <f>SQRT(6*(2*B24-6))</f>
        <v/>
      </c>
      <c r="D24" s="83">
        <f>C24-SQRT(3.5*(2*B24-3.5))</f>
        <v/>
      </c>
      <c r="E24" s="83">
        <f>IF(6&lt;C24, B24-SQRT(B24*B24-(C24-6)*(C24-6)), 0)</f>
        <v/>
      </c>
      <c r="F24" s="114">
        <f>MAX(0, 3.5-E24)</f>
        <v/>
      </c>
      <c r="G24" s="115" t="n">
        <v>0.04</v>
      </c>
      <c r="H24" s="83">
        <f>(G24/1)*0.44*(27+3.5)</f>
        <v/>
      </c>
      <c r="I24" s="80">
        <f>IF(AND(F24&lt;=0.001, 1.5&gt;=H24), "PASS (Zero Blind Spot &amp; Safe s)", "BLIND SPOT EXPOSED (Δh &gt; 0)")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9" customWidth="1" style="61" min="1" max="1"/>
    <col width="42" customWidth="1" style="61" min="2" max="2"/>
    <col width="16" customWidth="1" style="61" min="3" max="3"/>
    <col width="15" customWidth="1" style="61" min="4" max="4"/>
    <col width="16" customWidth="1" style="61" min="5" max="5"/>
    <col width="27" customWidth="1" style="61" min="6" max="6"/>
    <col width="33" customWidth="1" style="61" min="7" max="7"/>
    <col width="27" customWidth="1" style="61" min="8" max="8"/>
    <col width="26" customWidth="1" style="61" min="9" max="9"/>
    <col width="30" customWidth="1" style="61" min="10" max="10"/>
    <col width="24" customWidth="1" style="61" min="11" max="11"/>
    <col width="32" customWidth="1" style="61" min="12" max="12"/>
  </cols>
  <sheetData>
    <row r="1" ht="27.75" customHeight="1" s="62">
      <c r="A1" s="63" t="inlineStr">
        <is>
          <t>MULTI-BUILDING CAMPUS BATCH LIGHTNING RISK &amp; LPS SCHEDULE (SCANNED FROM PDF / DWG / DXF / BIM SITE PLAN)</t>
        </is>
      </c>
    </row>
    <row r="2" ht="19.5" customHeight="1" s="62">
      <c r="A2" s="64" t="inlineStr">
        <is>
          <t>Standard: IEC 62305-2:2010 Annex A (Eq. A.2 &amp; Table A.1) | Option A Locked: Full Outer Envelope (142.7m × 101.9m × 30.0m, heq=5.1m) + 6-Building Master Campus (v2.5.0)</t>
        </is>
      </c>
    </row>
    <row r="3"/>
    <row r="4" ht="24" customHeight="1" s="62">
      <c r="A4" s="71" t="inlineStr">
        <is>
          <t>Building ID &amp; Designation</t>
        </is>
      </c>
      <c r="B4" s="71" t="inlineStr">
        <is>
          <t>Facility Classification</t>
        </is>
      </c>
      <c r="C4" s="71" t="inlineStr">
        <is>
          <t>Length L (m)</t>
        </is>
      </c>
      <c r="D4" s="71" t="inlineStr">
        <is>
          <t>Width W (m)</t>
        </is>
      </c>
      <c r="E4" s="71" t="inlineStr">
        <is>
          <t>Height H (m)</t>
        </is>
      </c>
      <c r="F4" s="71" t="inlineStr">
        <is>
          <t>Collection Area AD (m²)</t>
        </is>
      </c>
      <c r="G4" s="71" t="inlineStr">
        <is>
          <t>Spatial Factor Cd (Table A.1)</t>
        </is>
      </c>
      <c r="H4" s="71" t="inlineStr">
        <is>
          <t>Direct Strikes ND (/yr)</t>
        </is>
      </c>
      <c r="I4" s="71" t="inlineStr">
        <is>
          <t>Unprotected R1 (×10⁻⁵)</t>
        </is>
      </c>
      <c r="J4" s="71" t="inlineStr">
        <is>
          <t>Selected LPS Class</t>
        </is>
      </c>
      <c r="K4" s="71" t="inlineStr">
        <is>
          <t>Protected R1 (×10⁻⁵)</t>
        </is>
      </c>
      <c r="L4" s="71" t="inlineStr">
        <is>
          <t>Rolling Sphere r / Min Sep s</t>
        </is>
      </c>
    </row>
    <row r="5" ht="19.5" customHeight="1" s="62">
      <c r="A5" s="80" t="inlineStr">
        <is>
          <t>DCH-01</t>
        </is>
      </c>
      <c r="B5" s="92" t="inlineStr">
        <is>
          <t>Hyperscale Data Hall Alpha (Building A)</t>
        </is>
      </c>
      <c r="C5" s="116" t="n">
        <v>95.59999999999999</v>
      </c>
      <c r="D5" s="116" t="n">
        <v>100.2</v>
      </c>
      <c r="E5" s="116" t="n">
        <v>27</v>
      </c>
      <c r="F5" s="84">
        <f>(C5*D5)+(6*E5*(C5+D5))+(PI()*9*E5*E5)</f>
        <v/>
      </c>
      <c r="G5" s="115" t="n">
        <v>0.5</v>
      </c>
      <c r="H5" s="85">
        <f>IDN_Cikarang_Tropical!$E$11*F5*G5*0.000001</f>
        <v/>
      </c>
      <c r="I5" s="86">
        <f>(H5*(0.00001 + (0.2*0.01*2*0.02)) + 0.00000069)*100000</f>
        <v/>
      </c>
      <c r="J5" s="80" t="inlineStr">
        <is>
          <t>Class I Enhanced (PB=0.01)</t>
        </is>
      </c>
      <c r="K5" s="88">
        <f>(H5*(0.01*0.01*0.00001 + 0.01*(0.2*0.01*2*0.02)) + 0.00000014)*100000</f>
        <v/>
      </c>
      <c r="L5" s="81">
        <f>"r=20m / s=" &amp; TEXT((0.08/1)*0.44*(E5+3.5),"0.00") &amp; "m"</f>
        <v/>
      </c>
    </row>
    <row r="6" ht="19.5" customHeight="1" s="62">
      <c r="A6" s="72" t="inlineStr">
        <is>
          <t>DCH-02</t>
        </is>
      </c>
      <c r="B6" s="95" t="inlineStr">
        <is>
          <t>Hyperscale Data Hall Beta (Building B)</t>
        </is>
      </c>
      <c r="C6" s="117" t="n">
        <v>95.59999999999999</v>
      </c>
      <c r="D6" s="117" t="n">
        <v>100.2</v>
      </c>
      <c r="E6" s="117" t="n">
        <v>27</v>
      </c>
      <c r="F6" s="76">
        <f>(C6*D6)+(6*E6*(C6+D6))+(PI()*9*E6*E6)</f>
        <v/>
      </c>
      <c r="G6" s="118" t="n">
        <v>0.5</v>
      </c>
      <c r="H6" s="77">
        <f>IDN_Cikarang_Tropical!$E$11*F6*G6*0.000001</f>
        <v/>
      </c>
      <c r="I6" s="78">
        <f>(H6*(0.00001 + (0.2*0.01*2*0.02)) + 0.00000069)*100000</f>
        <v/>
      </c>
      <c r="J6" s="72" t="inlineStr">
        <is>
          <t>Class I Enhanced (PB=0.01)</t>
        </is>
      </c>
      <c r="K6" s="88">
        <f>(H6*(0.01*0.01*0.00001 + 0.01*(0.2*0.01*2*0.02)) + 0.00000014)*100000</f>
        <v/>
      </c>
      <c r="L6" s="73">
        <f>"r=20m / s=" &amp; TEXT((0.08/1)*0.44*(E6+3.5),"0.00") &amp; "m"</f>
        <v/>
      </c>
    </row>
    <row r="7" ht="19.5" customHeight="1" s="62">
      <c r="A7" s="80" t="inlineStr">
        <is>
          <t>SUB-03</t>
        </is>
      </c>
      <c r="B7" s="92" t="inlineStr">
        <is>
          <t>150kV/20kV GIS Main Substation</t>
        </is>
      </c>
      <c r="C7" s="116" t="n">
        <v>42</v>
      </c>
      <c r="D7" s="116" t="n">
        <v>26</v>
      </c>
      <c r="E7" s="116" t="n">
        <v>11.5</v>
      </c>
      <c r="F7" s="84">
        <f>(C7*D7)+(6*E7*(C7+D7))+(PI()*9*E7*E7)</f>
        <v/>
      </c>
      <c r="G7" s="115" t="n">
        <v>0.25</v>
      </c>
      <c r="H7" s="85">
        <f>IDN_Cikarang_Tropical!$E$11*F7*G7*0.000001</f>
        <v/>
      </c>
      <c r="I7" s="86">
        <f>(H7*(0.00001 + (0.2*0.01*2*0.02)) + 0.00000069)*100000</f>
        <v/>
      </c>
      <c r="J7" s="80" t="inlineStr">
        <is>
          <t>Class I LPS (PB=0.02)</t>
        </is>
      </c>
      <c r="K7" s="88">
        <f>(H7*(0.02*0.01*0.00001 + 0.02*(0.2*0.01*2*0.02)) + 0.00000014)*100000</f>
        <v/>
      </c>
      <c r="L7" s="81">
        <f>"r=20m / s=" &amp; TEXT((0.08/1)*0.44*(E7+3.5),"0.00") &amp; "m"</f>
        <v/>
      </c>
    </row>
    <row r="8" ht="19.5" customHeight="1" s="62">
      <c r="A8" s="72" t="inlineStr">
        <is>
          <t>CUP-04</t>
        </is>
      </c>
      <c r="B8" s="95" t="inlineStr">
        <is>
          <t>Central Utility &amp; Standby Generator Plant</t>
        </is>
      </c>
      <c r="C8" s="117" t="n">
        <v>68</v>
      </c>
      <c r="D8" s="117" t="n">
        <v>34</v>
      </c>
      <c r="E8" s="117" t="n">
        <v>16</v>
      </c>
      <c r="F8" s="76">
        <f>(C8*D8)+(6*E8*(C8+D8))+(PI()*9*E8*E8)</f>
        <v/>
      </c>
      <c r="G8" s="118" t="n">
        <v>0.25</v>
      </c>
      <c r="H8" s="77">
        <f>IDN_Cikarang_Tropical!$E$11*F8*G8*0.000001</f>
        <v/>
      </c>
      <c r="I8" s="78">
        <f>(H8*(0.00001 + (0.2*0.01*2*0.02)) + 0.00000069)*100000</f>
        <v/>
      </c>
      <c r="J8" s="72" t="inlineStr">
        <is>
          <t>Class I LPS (PB=0.02)</t>
        </is>
      </c>
      <c r="K8" s="88">
        <f>(H8*(0.02*0.01*0.00001 + 0.02*(0.2*0.01*2*0.02)) + 0.00000014)*100000</f>
        <v/>
      </c>
      <c r="L8" s="73">
        <f>"r=20m / s=" &amp; TEXT((0.08/1)*0.44*(E8+3.5),"0.00") &amp; "m"</f>
        <v/>
      </c>
    </row>
    <row r="9" ht="19.5" customHeight="1" s="62">
      <c r="A9" s="80" t="inlineStr">
        <is>
          <t>ADM-05</t>
        </is>
      </c>
      <c r="B9" s="92" t="inlineStr">
        <is>
          <t>Administration, NOC &amp; Security Block</t>
        </is>
      </c>
      <c r="C9" s="116" t="n">
        <v>50</v>
      </c>
      <c r="D9" s="116" t="n">
        <v>28</v>
      </c>
      <c r="E9" s="116" t="n">
        <v>19.5</v>
      </c>
      <c r="F9" s="84">
        <f>(C9*D9)+(6*E9*(C9+D9))+(PI()*9*E9*E9)</f>
        <v/>
      </c>
      <c r="G9" s="115" t="n">
        <v>0.5</v>
      </c>
      <c r="H9" s="85">
        <f>IDN_Cikarang_Tropical!$E$11*F9*G9*0.000001</f>
        <v/>
      </c>
      <c r="I9" s="86">
        <f>(H9*(0.00001 + (0.2*0.01*2*0.02)) + 0.00000069)*100000</f>
        <v/>
      </c>
      <c r="J9" s="80" t="inlineStr">
        <is>
          <t>Class II LPS (PB=0.05)</t>
        </is>
      </c>
      <c r="K9" s="88">
        <f>(H9*(0.05*0.01*0.00001 + 0.05*(0.2*0.01*2*0.02)) + 0.00000014)*100000</f>
        <v/>
      </c>
      <c r="L9" s="81">
        <f>"r=30m / s=" &amp; TEXT((0.06/1)*0.44*(E9+3.5),"0.00") &amp; "m"</f>
        <v/>
      </c>
    </row>
    <row r="10" ht="19.5" customHeight="1" s="62">
      <c r="A10" s="72" t="inlineStr">
        <is>
          <t>FUEL-06</t>
        </is>
      </c>
      <c r="B10" s="95" t="inlineStr">
        <is>
          <t>Bulk B40 Diesel Storage Tank Farm</t>
        </is>
      </c>
      <c r="C10" s="117" t="n">
        <v>32</v>
      </c>
      <c r="D10" s="117" t="n">
        <v>18</v>
      </c>
      <c r="E10" s="117" t="n">
        <v>8</v>
      </c>
      <c r="F10" s="76">
        <f>(C10*D10)+(6*E10*(C10+D10))+(PI()*9*E10*E10)</f>
        <v/>
      </c>
      <c r="G10" s="118" t="n">
        <v>0.25</v>
      </c>
      <c r="H10" s="77">
        <f>IDN_Cikarang_Tropical!$E$11*F10*G10*0.000001</f>
        <v/>
      </c>
      <c r="I10" s="78">
        <f>(H10*(0.00001 + (0.2*0.1*2*0.02)) + 0.00000069)*100000</f>
        <v/>
      </c>
      <c r="J10" s="72" t="inlineStr">
        <is>
          <t>Class I Enhanced (PB=0.01)</t>
        </is>
      </c>
      <c r="K10" s="88">
        <f>(H10*(0.01*0.01*0.00001 + 0.01*(0.2*0.1*2*0.02)) + 0.00000014)*100000</f>
        <v/>
      </c>
      <c r="L10" s="73">
        <f>"r=20m / s=" &amp; TEXT((0.08/1)*0.44*(E10+3.5),"0.00") &amp; "m"</f>
        <v/>
      </c>
    </row>
    <row r="11" ht="21.75" customHeight="1" s="62">
      <c r="A11" s="106" t="inlineStr">
        <is>
          <t>CAMPUS TOTAL / MAX</t>
        </is>
      </c>
      <c r="B11" s="106" t="inlineStr">
        <is>
          <t>6 Scanned Campus Structures (All Protected R1 ≤ 1.00e-5)</t>
        </is>
      </c>
      <c r="C11" s="119">
        <f>SUM(C5:C10)</f>
        <v/>
      </c>
      <c r="D11" s="119">
        <f>SUM(D5:D10)</f>
        <v/>
      </c>
      <c r="E11" s="119">
        <f>MAX(E5:E10)</f>
        <v/>
      </c>
      <c r="F11" s="120">
        <f>SUM(F5:F10)</f>
        <v/>
      </c>
      <c r="G11" s="121">
        <f>AVERAGE(G5:G10)</f>
        <v/>
      </c>
      <c r="H11" s="122">
        <f>SUM(H5:H10)</f>
        <v/>
      </c>
      <c r="I11" s="105">
        <f>MAX(I5:I10)</f>
        <v/>
      </c>
      <c r="J11" s="123" t="inlineStr">
        <is>
          <t>100% Campus Compliant</t>
        </is>
      </c>
      <c r="K11" s="124">
        <f>MAX(K5:K10)</f>
        <v/>
      </c>
      <c r="L11" s="123" t="inlineStr">
        <is>
          <t>PASS (6/6 Buildings)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2026-10-16T16:56:12Z</dcterms:created>
  <dcterms:modified xmlns:dcterms="http://purl.org/dc/terms/" xmlns:xsi="http://www.w3.org/2001/XMLSchema-instance" xsi:type="dcterms:W3CDTF">2026-10-16T17:52:21Z</dcterms:modified>
  <cp:revision>0</cp:revision>
</cp:coreProperties>
</file>